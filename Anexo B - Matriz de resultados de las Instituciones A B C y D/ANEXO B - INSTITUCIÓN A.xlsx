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1" documentId="11_68C283724ED050B0998CFD5EF2385B42CAEB6CAB" xr6:coauthVersionLast="47" xr6:coauthVersionMax="47" xr10:uidLastSave="{BB311A85-1170-4746-901D-15AFEC5A851C}"/>
  <bookViews>
    <workbookView xWindow="-110" yWindow="-110" windowWidth="19420" windowHeight="10300" xr2:uid="{00000000-000D-0000-FFFF-FFFF00000000}"/>
  </bookViews>
  <sheets>
    <sheet name="PORTADA" sheetId="1" r:id="rId1"/>
    <sheet name="CONSENTIMIENTO_DIGITAL" sheetId="2" r:id="rId2"/>
    <sheet name="M1_Cumplimiento_LOPDP" sheetId="3" r:id="rId3"/>
    <sheet name="M2_Madurez_Institucional" sheetId="4" r:id="rId4"/>
    <sheet name="M3_Gobernanza_Tecnologica" sheetId="5" r:id="rId5"/>
    <sheet name="TABLERO_RESULT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6" l="1"/>
  <c r="C25" i="6"/>
  <c r="C24" i="6"/>
  <c r="C23" i="6"/>
  <c r="C18" i="6"/>
  <c r="C17" i="6"/>
  <c r="C16" i="6"/>
  <c r="C15" i="6"/>
  <c r="D10" i="6"/>
  <c r="C10" i="6"/>
  <c r="F9" i="6"/>
  <c r="E9" i="6"/>
  <c r="D9" i="6"/>
  <c r="H57" i="5"/>
  <c r="C9" i="6" s="1"/>
  <c r="G57" i="5"/>
  <c r="F57" i="5"/>
  <c r="E57" i="5"/>
  <c r="H51" i="4"/>
  <c r="G51" i="4"/>
  <c r="F51" i="4"/>
  <c r="E51" i="4"/>
  <c r="G48" i="4"/>
  <c r="G47" i="4"/>
  <c r="G46" i="4"/>
  <c r="G45" i="4"/>
  <c r="G41" i="4"/>
  <c r="G40" i="4"/>
  <c r="G39" i="4"/>
  <c r="G35" i="4"/>
  <c r="G34" i="4"/>
  <c r="G33" i="4"/>
  <c r="G32" i="4"/>
  <c r="G31" i="4"/>
  <c r="G27" i="4"/>
  <c r="G26" i="4"/>
  <c r="G25" i="4"/>
  <c r="G24" i="4"/>
  <c r="G20" i="4"/>
  <c r="G19" i="4"/>
  <c r="G18" i="4"/>
  <c r="G17" i="4"/>
  <c r="G16" i="4"/>
  <c r="G12" i="4"/>
  <c r="G11" i="4"/>
  <c r="G10" i="4"/>
  <c r="G9" i="4"/>
  <c r="H55" i="3"/>
  <c r="C8" i="6" s="1"/>
  <c r="G55" i="3"/>
  <c r="F8" i="6" s="1"/>
  <c r="F55" i="3"/>
  <c r="E8" i="6" s="1"/>
  <c r="E55" i="3"/>
  <c r="D8" i="6" s="1"/>
  <c r="C31" i="6" l="1"/>
</calcChain>
</file>

<file path=xl/sharedStrings.xml><?xml version="1.0" encoding="utf-8"?>
<sst xmlns="http://schemas.openxmlformats.org/spreadsheetml/2006/main" count="532" uniqueCount="341">
  <si>
    <t>INSTRUMENTO DE AUTOEVALUACIÓN INSTITUCIONAL</t>
  </si>
  <si>
    <t>Cumplimiento LOPDP · Madurez Institucional · Gobernanza Tecnológica</t>
  </si>
  <si>
    <t>DATOS GENERALES</t>
  </si>
  <si>
    <t>Institución:</t>
  </si>
  <si>
    <t>Tipo de Institución:</t>
  </si>
  <si>
    <t>Particular</t>
  </si>
  <si>
    <t>Responsable de la autoevaluación:</t>
  </si>
  <si>
    <t>Cargo:</t>
  </si>
  <si>
    <t xml:space="preserve">Director General </t>
  </si>
  <si>
    <t>Fecha de aplicación:</t>
  </si>
  <si>
    <t>2026-07-29</t>
  </si>
  <si>
    <t>Revisado por (Estudiantes Maestría en Seguridad Informática):</t>
  </si>
  <si>
    <t xml:space="preserve">María Armijos </t>
  </si>
  <si>
    <t>INSTRUCCIONES DE USO</t>
  </si>
  <si>
    <t>MÓDULO 1</t>
  </si>
  <si>
    <t>Cumplimiento LOPDP/RGLOPDP</t>
  </si>
  <si>
    <t>Responda Sí / Parcial / No en la columna RESPUESTA. Registre brevemente la evidencia disponible.</t>
  </si>
  <si>
    <t>MÓDULO 2</t>
  </si>
  <si>
    <t>Madurez Institucional</t>
  </si>
  <si>
    <t>Seleccione el nivel de madurez (1-5) según la descripción de cada criterio. El nivel se califica automáticamente.</t>
  </si>
  <si>
    <t>MÓDULO 3</t>
  </si>
  <si>
    <t>Gobernanza Tecnológica</t>
  </si>
  <si>
    <t>Responda Sí / Parcial / No e indique el estado actual de cada componente tecnológico.</t>
  </si>
  <si>
    <t>RESULTADOS</t>
  </si>
  <si>
    <t>Tablero de Resultados</t>
  </si>
  <si>
    <t>Consulte el resumen automático con % de cumplimiento, nivel de madurez global y brechas identificadas.</t>
  </si>
  <si>
    <t>ESCALA DE RESPUESTAS — MÓDULOS 1 Y 3</t>
  </si>
  <si>
    <t>SÍ</t>
  </si>
  <si>
    <t>2 puntos</t>
  </si>
  <si>
    <t>Existe evidencia documentada y se aplica</t>
  </si>
  <si>
    <t>PARCIAL</t>
  </si>
  <si>
    <t>1 punto</t>
  </si>
  <si>
    <t>Existe pero está en proceso o incompleto</t>
  </si>
  <si>
    <t>NO</t>
  </si>
  <si>
    <t>0 puntos</t>
  </si>
  <si>
    <t>No existe o no se aplica</t>
  </si>
  <si>
    <t>ESCALA DE MADUREZ — MÓDULO 2</t>
  </si>
  <si>
    <t>1 - Inicial</t>
  </si>
  <si>
    <t>Inicial: Sin proceso formal. Acción ad hoc o inexistente.</t>
  </si>
  <si>
    <t>2 - Básico</t>
  </si>
  <si>
    <t>Básico: Se reconoce la necesidad pero sin estandarización.</t>
  </si>
  <si>
    <t>3 - Definido</t>
  </si>
  <si>
    <t>Definido: Proceso documentado, aprobado y aplicado consistentemente.</t>
  </si>
  <si>
    <t>4 - Gestionado</t>
  </si>
  <si>
    <t>Gestionado: Proceso medido con indicadores y métricas definidos.</t>
  </si>
  <si>
    <t>5 - Optimizado</t>
  </si>
  <si>
    <t>Optimizado: Mejora continua activa. Benchmarking y automatización.</t>
  </si>
  <si>
    <t>FORMATO DE CONSENTIMIENTO DIGITAL</t>
  </si>
  <si>
    <t>1.1.1. Registro de aceptación del titular de los datos</t>
  </si>
  <si>
    <t>1. ACEPTACIÓN</t>
  </si>
  <si>
    <t>Declaro que he leído y comprendido la información contenida en el presente consentimiento informado y que he sido informado/a de manera clara, suficiente y comprensible sobre el tratamiento de mis datos personales.</t>
  </si>
  <si>
    <t>☑</t>
  </si>
  <si>
    <t>ACEPTO el tratamiento de mis datos personales para las finalidades descritas en el presente consentimiento informado.</t>
  </si>
  <si>
    <t>ACEPTO el uso de imagen, fotografía y/o material audiovisual, cuando aplique.</t>
  </si>
  <si>
    <t>ACEPTO el tratamiento de datos sensibles, cuando aplique.</t>
  </si>
  <si>
    <t>La aceptación otorgada será registrada electrónicamente por la plataforma utilizada, conservando la evidencia necesaria para acreditar la identidad o autenticación del usuario, así como la fecha, hora y demás registros asociados a la manifestación de voluntad realizada.</t>
  </si>
  <si>
    <t>EVIDENCIA DE REGISTRO ELECTRÓNICO</t>
  </si>
  <si>
    <t>Usuario / identidad declarada:</t>
  </si>
  <si>
    <t>Fecha de aceptación:</t>
  </si>
  <si>
    <t>14/8/2026</t>
  </si>
  <si>
    <t>Hora de aceptación:</t>
  </si>
  <si>
    <t>9:26:30 a. m.</t>
  </si>
  <si>
    <t>Estado del consentimiento:</t>
  </si>
  <si>
    <t>Completo</t>
  </si>
  <si>
    <t>MÓDULO 1 · DIAGNÓSTICO DE CUMPLIMIENTO NORMATIVO — LOPDP Y RGLOPDP</t>
  </si>
  <si>
    <t>Ley Orgánica de Protección de Datos Personales · Ecuador  |  Responda con base en evidencia disponible</t>
  </si>
  <si>
    <t>#</t>
  </si>
  <si>
    <t>ID</t>
  </si>
  <si>
    <t>CRITERIO DE VERIFICACIÓN</t>
  </si>
  <si>
    <t>RESPUESTA
(Sí / Parcial / No)</t>
  </si>
  <si>
    <t>EVIDENCIA / OBSERVACIÓN</t>
  </si>
  <si>
    <t>ART. LOPDP
Referencia</t>
  </si>
  <si>
    <t>A. INVENTARIO Y BASES DE DATOS</t>
  </si>
  <si>
    <t>A1</t>
  </si>
  <si>
    <t>¿La institución ha identificado y registrado todas las bases de datos que contienen datos personales?</t>
  </si>
  <si>
    <t>Parcial</t>
  </si>
  <si>
    <t/>
  </si>
  <si>
    <t>Art. 26, 11 y 37</t>
  </si>
  <si>
    <t>A2</t>
  </si>
  <si>
    <t>¿Se ha definido la finalidad específica de cada tratamiento de datos personales?</t>
  </si>
  <si>
    <t>Sí</t>
  </si>
  <si>
    <t>Art. 11</t>
  </si>
  <si>
    <t>A3</t>
  </si>
  <si>
    <t>¿Se documenta el período de conservación de los datos conforme a minimización y proporcionalidad?</t>
  </si>
  <si>
    <t>Art. 10, 12</t>
  </si>
  <si>
    <t>A4</t>
  </si>
  <si>
    <t>¿Existe un inventario actualizado de flujos de datos (quién recibe, quién envía, con qué propósito)?</t>
  </si>
  <si>
    <t>No</t>
  </si>
  <si>
    <t>Art. 26</t>
  </si>
  <si>
    <t>B. CONSENTIMIENTO E INFORMACIÓN AL TITULAR</t>
  </si>
  <si>
    <t>B1</t>
  </si>
  <si>
    <t>¿Se informa al titular sobre qué datos se recopilan, cómo se usan y con quién se comparten?</t>
  </si>
  <si>
    <t>Art. 14, 15</t>
  </si>
  <si>
    <t>B2</t>
  </si>
  <si>
    <t>¿Se obtiene el consentimiento explícito antes de recopilar o procesar datos personales?</t>
  </si>
  <si>
    <t>Art. 9</t>
  </si>
  <si>
    <t>B3</t>
  </si>
  <si>
    <t>¿Existe una política de privacidad clara, accesible y revisada periódicamente?</t>
  </si>
  <si>
    <t>Art. 14</t>
  </si>
  <si>
    <t>B4</t>
  </si>
  <si>
    <t>¿Se proporciona a los titulares información sobre cómo ejercer sus derechos (ARCO+)?</t>
  </si>
  <si>
    <t>Art. 19-25</t>
  </si>
  <si>
    <t>B5</t>
  </si>
  <si>
    <t>¿Cuenta con política de uso de cookies con consentimiento informado?</t>
  </si>
  <si>
    <t>Art. 8, 9 y 14</t>
  </si>
  <si>
    <t>C. DERECHOS DE LOS TITULARES (ARCO+)</t>
  </si>
  <si>
    <t>C1</t>
  </si>
  <si>
    <t>¿Existe un mecanismo formal para atender solicitudes de Acceso a datos personales?</t>
  </si>
  <si>
    <t>Art. 19</t>
  </si>
  <si>
    <t>C2</t>
  </si>
  <si>
    <t>¿Existe un mecanismo formal para solicitudes de Rectificación de datos?</t>
  </si>
  <si>
    <t>Art. 20</t>
  </si>
  <si>
    <t>C3</t>
  </si>
  <si>
    <t>¿Existe un mecanismo formal para solicitudes de Cancelación / Supresión de datos?</t>
  </si>
  <si>
    <t>Art. 21</t>
  </si>
  <si>
    <t>C4</t>
  </si>
  <si>
    <t>¿Existe un mecanismo formal para solicitudes de Oposición al tratamiento?</t>
  </si>
  <si>
    <t>Art. 22</t>
  </si>
  <si>
    <t>C5</t>
  </si>
  <si>
    <t>¿Se respetan los plazos legales para atender derechos de titulares?</t>
  </si>
  <si>
    <t>Art. 19-26</t>
  </si>
  <si>
    <t>D. RESPONSABLE Y ENCARGADO DEL TRATAMIENTO</t>
  </si>
  <si>
    <t>D1</t>
  </si>
  <si>
    <t>¿La institución tiene designado formalmente un Delegado de Protección de Datos (DPD)?</t>
  </si>
  <si>
    <t>Art. 47 - 50</t>
  </si>
  <si>
    <t>D2</t>
  </si>
  <si>
    <t>¿Cuenta con contratos firmados con encargados de tratamiento externos?</t>
  </si>
  <si>
    <t>Art. 38</t>
  </si>
  <si>
    <t>D3</t>
  </si>
  <si>
    <t>¿Tiene acuerdos de confidencialidad firmados con encargados y colaboradores que acceden a datos?</t>
  </si>
  <si>
    <t>Art. 38, 39</t>
  </si>
  <si>
    <t>D4</t>
  </si>
  <si>
    <t>¿Se verifica que los encargados externos cumplen con la LOPDP?</t>
  </si>
  <si>
    <t>E. SEGURIDAD DE LA INFORMACIÓN</t>
  </si>
  <si>
    <t>E1</t>
  </si>
  <si>
    <t>¿Cuenta con medidas de seguridad técnicas y organizativas para proteger datos personales?</t>
  </si>
  <si>
    <t>Art. 37</t>
  </si>
  <si>
    <t>E2</t>
  </si>
  <si>
    <t>¿Realiza análisis de riesgos que incluya el tratamiento de datos personales?</t>
  </si>
  <si>
    <t>Art. 37 y 40</t>
  </si>
  <si>
    <t>E3</t>
  </si>
  <si>
    <t>¿Se realiza Evaluación de Impacto en Protección de Datos (EIPD) para tratamientos de alto riesgo?</t>
  </si>
  <si>
    <t>Art. 37 y 47</t>
  </si>
  <si>
    <t>E4</t>
  </si>
  <si>
    <t>¿Mantiene un procedimiento documentado para notificación de vulneraciones de seguridad?</t>
  </si>
  <si>
    <t>Art. 42 y 44</t>
  </si>
  <si>
    <t>E5</t>
  </si>
  <si>
    <t>¿Realiza análisis de vulnerabilidades informáticas relacionadas con datos personales?</t>
  </si>
  <si>
    <t>E6</t>
  </si>
  <si>
    <t>¿Cuenta con políticas de anonimización, cifrado y eliminación segura de datos?</t>
  </si>
  <si>
    <t>E7</t>
  </si>
  <si>
    <t>¿Tiene señalización visible en zonas con cámaras de seguridad?</t>
  </si>
  <si>
    <t>Art. 14 y 37</t>
  </si>
  <si>
    <t>F. AUDITORÍA, CAPACITACIÓN Y MEJORA CONTINUA</t>
  </si>
  <si>
    <t>F1</t>
  </si>
  <si>
    <t>¿Se realizan capacitaciones periódicas a docentes, autoridades, estudiantes sobre protección de datos?</t>
  </si>
  <si>
    <t>F2</t>
  </si>
  <si>
    <t>¿Se realizan revisiones periódicas y auditorías de cumplimiento de protección de datos?</t>
  </si>
  <si>
    <t>F3</t>
  </si>
  <si>
    <t>¿Se ha documentado y aplica una política de retención y eliminación de datos?</t>
  </si>
  <si>
    <t>Art. 10, 12 y 16</t>
  </si>
  <si>
    <t>F4</t>
  </si>
  <si>
    <t>¿Se realizan pruebas de penetración o análisis de seguridad informática?</t>
  </si>
  <si>
    <t>Sí ✓</t>
  </si>
  <si>
    <t>Parcial ~</t>
  </si>
  <si>
    <t>No ✗</t>
  </si>
  <si>
    <t>% Cumplimiento</t>
  </si>
  <si>
    <t>RESUMEN MÓDULO 1</t>
  </si>
  <si>
    <t>MÓDULO 2 · EVALUACIÓN DE NIVEL DE MADUREZ INSTITUCIONAL</t>
  </si>
  <si>
    <t>Seleccione el nivel 1-5 que mejor describe el estado actual de cada dimensión institucional</t>
  </si>
  <si>
    <t>DIM</t>
  </si>
  <si>
    <t>DIMENSIÓN / CRITERIO DE MADUREZ</t>
  </si>
  <si>
    <t>NIVEL
(1-5)</t>
  </si>
  <si>
    <t>OBSERVACIÓN / JUSTIFICACIÓN</t>
  </si>
  <si>
    <t>DESCRIPCIÓN DEL NIVEL SELECCIONADO</t>
  </si>
  <si>
    <t>I. GOBERNANZA Y LIDERAZGO EN DATOS</t>
  </si>
  <si>
    <t>G1</t>
  </si>
  <si>
    <t>Existe una estructura de gobierno de datos con roles y responsabilidades definidos (Responsable, DPD, Encargados).</t>
  </si>
  <si>
    <t>G2</t>
  </si>
  <si>
    <t>La alta dirección lidera y está comprometida con el cumplimiento normativo en protección de datos.</t>
  </si>
  <si>
    <t>G3</t>
  </si>
  <si>
    <t>Existen políticas institucionales formalizadas sobre privacidad y protección de datos personales.</t>
  </si>
  <si>
    <t>G4</t>
  </si>
  <si>
    <t>Se cuenta con presupuesto asignado para actividades de cumplimiento y protección de datos.</t>
  </si>
  <si>
    <t>II. GESTIÓN DE PROCESOS Y PROCEDIMIENTOS</t>
  </si>
  <si>
    <t>P1</t>
  </si>
  <si>
    <t>Los procesos de tratamiento de datos están documentados, aprobados y comunicados al personal.</t>
  </si>
  <si>
    <t>P2</t>
  </si>
  <si>
    <t>Existe un registro de actividades de tratamiento (RAT) actualizado.</t>
  </si>
  <si>
    <t>P3</t>
  </si>
  <si>
    <t>Se aplican procedimientos formales para responder derechos ARCO+ de los titulares.</t>
  </si>
  <si>
    <t>P4</t>
  </si>
  <si>
    <t>Se dispone de procedimientos para gestión de incidentes y brechas de datos.</t>
  </si>
  <si>
    <t>P5</t>
  </si>
  <si>
    <t>Existe un proceso de revisión y mejora continua de los procedimientos de protección de datos.</t>
  </si>
  <si>
    <t>III. CULTURA Y CAPACITACIÓN ORGANIZACIONAL</t>
  </si>
  <si>
    <t>CC1</t>
  </si>
  <si>
    <t>El personal tiene conocimiento básico de la LOPDP y sus obligaciones.</t>
  </si>
  <si>
    <t>CC2</t>
  </si>
  <si>
    <t>Se realizan capacitaciones formales y periódicas sobre protección de datos a todos los niveles.</t>
  </si>
  <si>
    <t>CC3</t>
  </si>
  <si>
    <t>Existe una cultura de privacidad por diseño en el desarrollo de nuevos proyectos o sistemas.</t>
  </si>
  <si>
    <t>CC4</t>
  </si>
  <si>
    <t>El incumplimiento de normas de privacidad tiene consecuencias formales (régimen disciplinario).</t>
  </si>
  <si>
    <t>IV. GESTIÓN DE RIESGOS Y SEGURIDAD</t>
  </si>
  <si>
    <t>R1</t>
  </si>
  <si>
    <t>Se realiza análisis de riesgos formal para el tratamiento de datos personales.</t>
  </si>
  <si>
    <t>R2</t>
  </si>
  <si>
    <t>Los riesgos identificados tienen controles asignados, responsables y plazos de mitigación.</t>
  </si>
  <si>
    <t>R3</t>
  </si>
  <si>
    <t>Se aplican Evaluaciones de Impacto en Protección de Datos (EIPD) cuando corresponde.</t>
  </si>
  <si>
    <t>R4</t>
  </si>
  <si>
    <t>Las medidas de seguridad técnica (cifrado, control de acceso, logs) están implementadas y documentadas.</t>
  </si>
  <si>
    <t>R5</t>
  </si>
  <si>
    <t>Se realizan pruebas periódicas de seguridad (pentesting, análisis de vulnerabilidades).</t>
  </si>
  <si>
    <t>V. RELACIÓN CON TERCEROS Y CADENA DE VALOR</t>
  </si>
  <si>
    <t>T1</t>
  </si>
  <si>
    <t>Los contratos con proveedores incluyen cláusulas de protección de datos.</t>
  </si>
  <si>
    <t>T2</t>
  </si>
  <si>
    <t>Se verifica que los encargados externos cumplen con estándares equivalentes de protección de datos.</t>
  </si>
  <si>
    <t>T3</t>
  </si>
  <si>
    <t>Existe un registro actualizado de encargados de tratamiento externos.</t>
  </si>
  <si>
    <t>VI. AUDITORÍA, MONITOREO Y MEJORA CONTINUA</t>
  </si>
  <si>
    <t>Se realizan auditorías internas periódicas de cumplimiento en protección de datos.</t>
  </si>
  <si>
    <t>Existen indicadores y métricas de cumplimiento que se monitorean regularmente.</t>
  </si>
  <si>
    <t>Los hallazgos de auditoría se documentan, priorizan e implementan con seguimiento.</t>
  </si>
  <si>
    <t>La institución aplica un ciclo de mejora continua (PHVA) en la gestión de datos personales.</t>
  </si>
  <si>
    <t>Nivel Promedio</t>
  </si>
  <si>
    <t>Nivel Mínimo</t>
  </si>
  <si>
    <t>Nivel Máximo</t>
  </si>
  <si>
    <t>% Madurez Global</t>
  </si>
  <si>
    <t>RESUMEN MÓDULO 2</t>
  </si>
  <si>
    <t>MÓDULO 3 · GOBERNANZA TECNOLÓGICA Y SISTEMAS DE INFORMACIÓN</t>
  </si>
  <si>
    <t>Evaluación de la gestión de procesos tecnológicos, infraestructura y sistemas de información</t>
  </si>
  <si>
    <t>CRITERIO DE GOBERNANZA TECNOLÓGICA</t>
  </si>
  <si>
    <t>ESTADO ACTUAL / OBSERVACIÓN</t>
  </si>
  <si>
    <t>PRIORIDAD
(Alta/Media/Baja)</t>
  </si>
  <si>
    <t>I. ESTRATEGIA Y GOBERNANZA TI</t>
  </si>
  <si>
    <t>TG1</t>
  </si>
  <si>
    <t>¿Existe un plan estratégico de tecnología de la información (PETI) vigente y alineado al plan institucional?</t>
  </si>
  <si>
    <t>Alta</t>
  </si>
  <si>
    <t>TG2</t>
  </si>
  <si>
    <t>¿Hay una unidad o responsable formal de TI con funciones y presupuesto definidos?</t>
  </si>
  <si>
    <t>TG3</t>
  </si>
  <si>
    <t>¿Existe un comité o instancia de toma de decisiones tecnológicas en la institución?</t>
  </si>
  <si>
    <t>TG4</t>
  </si>
  <si>
    <t>¿Se aplica algún marco de referencia para gobernanza TI (COBIT, ITIL, ISO 38500, ISO 27001 u otro)?</t>
  </si>
  <si>
    <t>II. INVENTARIO Y GESTIÓN DE ACTIVOS TECNOLÓGICOS</t>
  </si>
  <si>
    <t>TA1</t>
  </si>
  <si>
    <t>¿Se cuenta con un inventario actualizado de hardware (equipos, servidores, dispositivos de red)?</t>
  </si>
  <si>
    <t>TA2</t>
  </si>
  <si>
    <t>¿Se cuenta con un inventario actualizado de software y licencias?</t>
  </si>
  <si>
    <t xml:space="preserve">Open Source </t>
  </si>
  <si>
    <t>Media</t>
  </si>
  <si>
    <t>TA3</t>
  </si>
  <si>
    <t>¿Están identificados y clasificados los sistemas de información por criticidad?</t>
  </si>
  <si>
    <t>TA4</t>
  </si>
  <si>
    <t>¿Se gestiona el ciclo de vida de los activos tecnológicos (adquisición, operación, baja)?</t>
  </si>
  <si>
    <t xml:space="preserve">Físico Colecturia se tiene la lista </t>
  </si>
  <si>
    <t>III. SISTEMAS DE INFORMACIÓN Y BASES DE DATOS</t>
  </si>
  <si>
    <t>SI1</t>
  </si>
  <si>
    <t>¿Los sistemas de información institucionales están documentados (arquitectura, flujos de datos, usuarios)?</t>
  </si>
  <si>
    <t>SI2</t>
  </si>
  <si>
    <t>¿Existe integración entre los sistemas de información? ¿Están documentados los flujos de integración?</t>
  </si>
  <si>
    <t>SI3</t>
  </si>
  <si>
    <t>¿Los sistemas aplican controles de acceso basados en roles (RBAC) o perfiles de usuario?</t>
  </si>
  <si>
    <t>SI4</t>
  </si>
  <si>
    <t>¿Se registran logs de auditoría en los sistemas de información (accesos, cambios, consultas)?</t>
  </si>
  <si>
    <t>SI5</t>
  </si>
  <si>
    <t>¿Los sistemas de información críticos cuentan con planes de continuidad o contingencia?</t>
  </si>
  <si>
    <t>SI6</t>
  </si>
  <si>
    <t>¿Se realizan respaldos periódicos de bases de datos y sistemas con pruebas de restauración?</t>
  </si>
  <si>
    <t>IV. SEGURIDAD INFORMÁTICA</t>
  </si>
  <si>
    <t>SEC1</t>
  </si>
  <si>
    <t>¿Existe una política de seguridad de la información documentada y vigente?</t>
  </si>
  <si>
    <t>SEC2</t>
  </si>
  <si>
    <t>¿Se aplica gestión de parches y actualizaciones de seguridad en sistemas operativos y aplicaciones?</t>
  </si>
  <si>
    <t>SEC3</t>
  </si>
  <si>
    <t>¿Se usan herramientas de protección perimetral (firewall, antivirus, IDS/IPS)?</t>
  </si>
  <si>
    <t>SEC4</t>
  </si>
  <si>
    <t>¿Existe segmentación de redes y control de acceso a la infraestructura?</t>
  </si>
  <si>
    <t>SEC5</t>
  </si>
  <si>
    <t>¿Se gestiona formalmente el control de accesos privilegiados (administradores de sistemas)?</t>
  </si>
  <si>
    <t>SEC6</t>
  </si>
  <si>
    <t>¿Se realizan pruebas de seguridad (pentesting, ethical hacking) periódicamente?</t>
  </si>
  <si>
    <t>V. GESTIÓN DE SERVICIOS TI Y MESA DE AYUDA</t>
  </si>
  <si>
    <t>SV1</t>
  </si>
  <si>
    <t>¿Existe un sistema de gestión de incidentes y solicitudes TI (mesa de ayuda / help desk)?</t>
  </si>
  <si>
    <t>SV2</t>
  </si>
  <si>
    <t>¿Se miden los tiempos de respuesta y resolución de incidentes tecnológicos?</t>
  </si>
  <si>
    <t>SV3</t>
  </si>
  <si>
    <t>¿Existen Acuerdos de Nivel de Servicio (SLA) con proveedores tecnológicos críticos?</t>
  </si>
  <si>
    <t>SV4</t>
  </si>
  <si>
    <t>¿Existe gestión de cambios formalizada para modificaciones en sistemas productivos?</t>
  </si>
  <si>
    <t>VI. NORMATIVA Y CUMPLIMIENTO TECNOLÓGICO NACIONAL</t>
  </si>
  <si>
    <t>CN1</t>
  </si>
  <si>
    <t>¿La gestión de TI está alineada con la Ley de Comercio Electrónico, Firmas y Mensajes de Datos?</t>
  </si>
  <si>
    <t>CN2</t>
  </si>
  <si>
    <t>¿Se aplica el Esquema Gubernamental de Seguridad de la Información (EGSI) o similar?</t>
  </si>
  <si>
    <t>CN3</t>
  </si>
  <si>
    <t>¿Los sistemas de información consideran requisitos de protección de datos desde su diseño (privacy by design)?</t>
  </si>
  <si>
    <t>CN4</t>
  </si>
  <si>
    <t>¿Se realiza revisión periódica del cumplimiento normativo tecnológico (auditorías TI)?</t>
  </si>
  <si>
    <t>RESUMEN MÓDULO 3</t>
  </si>
  <si>
    <t>TABLERO DE RESULTADOS — AUTOEVALUACIÓN INSTITUCIONAL</t>
  </si>
  <si>
    <t>1. RESUMEN EJECUTIVO</t>
  </si>
  <si>
    <t>MÓDULO</t>
  </si>
  <si>
    <t>% CUMPLIMIENTO</t>
  </si>
  <si>
    <t>Módulo 1 · Cumplimiento LOPDP/RGLOPDP</t>
  </si>
  <si>
    <t>Módulo 3 · Gobernanza Tecnológica</t>
  </si>
  <si>
    <t>Módulo 2 · Madurez Institucional</t>
  </si>
  <si>
    <t>2. NIVEL DE MADUREZ INSTITUCIONAL</t>
  </si>
  <si>
    <t>INDICADOR</t>
  </si>
  <si>
    <t>VALOR</t>
  </si>
  <si>
    <t>INTERPRETACIÓN</t>
  </si>
  <si>
    <t>Nivel Promedio Global (1-5)</t>
  </si>
  <si>
    <t>Nivel 2 - BÁSICO: Reconocimiento sin estandarización</t>
  </si>
  <si>
    <t>Nivel Mínimo detectado</t>
  </si>
  <si>
    <t>— Dimensión más débil</t>
  </si>
  <si>
    <t>Nivel Máximo detectado</t>
  </si>
  <si>
    <t>— Dimensión más fortalecida</t>
  </si>
  <si>
    <t>% de Madurez Alcanzado</t>
  </si>
  <si>
    <t>Relación nivel promedio / nivel máximo (5)</t>
  </si>
  <si>
    <t>3. SÍNTESIS DE GOBERNANZA TECNOLÓGICA</t>
  </si>
  <si>
    <t>% Cumplimiento Gobernanza TI</t>
  </si>
  <si>
    <t>MEDIO — Avances significativos, brechas puntuales</t>
  </si>
  <si>
    <t>Criterios Cumplidos (Sí)</t>
  </si>
  <si>
    <t>Controles completamente implementados</t>
  </si>
  <si>
    <t>Criterios Parciales</t>
  </si>
  <si>
    <t>Controles en proceso o incompletos</t>
  </si>
  <si>
    <t>Criterios No Cumplidos (No)</t>
  </si>
  <si>
    <t>Brechas que requieren plan de acción</t>
  </si>
  <si>
    <t>4. NIVEL DE RIESGO Y ESTADO GLOBAL</t>
  </si>
  <si>
    <t>RESULTADO</t>
  </si>
  <si>
    <t>NIVEL DE RIESGO</t>
  </si>
  <si>
    <t>ÍNDICE DE CUMPLIMIENTO GLOBAL</t>
  </si>
  <si>
    <t>Riesgo Medio-Alto - Brechas criticas</t>
  </si>
  <si>
    <t>Elaborado para: Institución A</t>
  </si>
  <si>
    <t>Institución A</t>
  </si>
  <si>
    <t>XXXX</t>
  </si>
  <si>
    <t>Institución A  ·  Resultados calculados automáticamente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</si>
</sst>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1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3"/>
      <color rgb="FFFFFFFF"/>
      <name val="Arial"/>
    </font>
    <font>
      <sz val="10"/>
      <color rgb="FFFFFFFF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sz val="11"/>
      <color rgb="FFFFFFFF"/>
      <name val="Arial"/>
    </font>
    <font>
      <b/>
      <sz val="13"/>
      <color rgb="FF000000"/>
      <name val="Arial"/>
    </font>
    <font>
      <i/>
      <sz val="10"/>
      <color rgb="FF000000"/>
      <name val="Arial"/>
    </font>
    <font>
      <b/>
      <sz val="14"/>
      <color rgb="FFFFFFFF"/>
      <name val="Arial"/>
    </font>
    <font>
      <b/>
      <sz val="9"/>
      <color rgb="FFC0392B"/>
      <name val="Arial"/>
    </font>
    <font>
      <sz val="10"/>
      <color rgb="FF566573"/>
      <name val="Arial"/>
    </font>
    <font>
      <b/>
      <sz val="9"/>
      <color rgb="FFE67E22"/>
      <name val="Arial"/>
    </font>
    <font>
      <i/>
      <sz val="10"/>
      <color rgb="FF566573"/>
      <name val="Arial"/>
    </font>
    <font>
      <b/>
      <sz val="9"/>
      <color rgb="FF1A5276"/>
      <name val="Arial"/>
    </font>
    <font>
      <i/>
      <sz val="9"/>
      <color rgb="FF000000"/>
      <name val="Arial"/>
    </font>
    <font>
      <b/>
      <sz val="16"/>
      <color rgb="FF000000"/>
      <name val="Arial"/>
    </font>
    <font>
      <b/>
      <sz val="10"/>
      <color rgb="FFC0392B"/>
      <name val="Arial"/>
    </font>
  </fonts>
  <fills count="2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39C12"/>
      </patternFill>
    </fill>
    <fill>
      <patternFill patternType="solid">
        <fgColor rgb="FFECF0F1"/>
      </patternFill>
    </fill>
    <fill>
      <patternFill patternType="solid">
        <fgColor rgb="FFFFFDE7"/>
      </patternFill>
    </fill>
    <fill>
      <patternFill patternType="solid">
        <fgColor rgb="FF1A5276"/>
      </patternFill>
    </fill>
    <fill>
      <patternFill patternType="solid">
        <fgColor rgb="FF566573"/>
      </patternFill>
    </fill>
    <fill>
      <patternFill patternType="solid">
        <fgColor rgb="FFFFEBEE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DCEDC8"/>
      </patternFill>
    </fill>
    <fill>
      <patternFill patternType="solid">
        <fgColor rgb="FFB2EBF2"/>
      </patternFill>
    </fill>
    <fill>
      <patternFill patternType="solid">
        <fgColor rgb="FFC0392B"/>
      </patternFill>
    </fill>
    <fill>
      <patternFill patternType="solid">
        <fgColor rgb="FF8B0000"/>
      </patternFill>
    </fill>
    <fill>
      <patternFill patternType="solid">
        <fgColor rgb="FF1E8449"/>
      </patternFill>
    </fill>
    <fill>
      <patternFill patternType="solid">
        <fgColor rgb="FFE67E22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7" fillId="7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12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164" fontId="7" fillId="19" borderId="0" xfId="0" applyNumberFormat="1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5" fillId="5" borderId="0" xfId="0" applyFont="1" applyFill="1" applyAlignment="1" applyProtection="1">
      <alignment horizontal="center" vertical="center"/>
      <protection locked="0"/>
    </xf>
    <xf numFmtId="0" fontId="16" fillId="0" borderId="0" xfId="0" applyFont="1" applyAlignment="1">
      <alignment horizontal="left" vertical="center" wrapText="1"/>
    </xf>
    <xf numFmtId="165" fontId="7" fillId="21" borderId="0" xfId="0" applyNumberFormat="1" applyFont="1" applyFill="1" applyAlignment="1">
      <alignment horizontal="center" vertical="center"/>
    </xf>
    <xf numFmtId="164" fontId="7" fillId="21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22" borderId="0" xfId="0" applyFont="1" applyFill="1" applyAlignment="1" applyProtection="1">
      <alignment horizontal="center" vertical="center"/>
      <protection locked="0"/>
    </xf>
    <xf numFmtId="0" fontId="7" fillId="6" borderId="0" xfId="0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16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165" fontId="5" fillId="9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5" borderId="0" xfId="0" applyFont="1" applyFill="1" applyAlignment="1" applyProtection="1">
      <alignment horizontal="left" vertical="center"/>
      <protection locked="0"/>
    </xf>
    <xf numFmtId="0" fontId="4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6" fillId="15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0" fontId="6" fillId="16" borderId="0" xfId="0" applyFont="1" applyFill="1" applyAlignment="1">
      <alignment horizontal="left" vertical="center"/>
    </xf>
    <xf numFmtId="0" fontId="5" fillId="17" borderId="0" xfId="0" applyFont="1" applyFill="1" applyAlignment="1">
      <alignment horizontal="left" vertical="center"/>
    </xf>
    <xf numFmtId="0" fontId="6" fillId="17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  <xf numFmtId="0" fontId="12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left" vertical="center"/>
    </xf>
    <xf numFmtId="0" fontId="7" fillId="19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left" vertical="center"/>
    </xf>
    <xf numFmtId="0" fontId="7" fillId="21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19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23000</xdr:colOff>
      <xdr:row>0</xdr:row>
      <xdr:rowOff>27000</xdr:rowOff>
    </xdr:from>
    <xdr:ext cx="434534" cy="476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9"/>
  <sheetViews>
    <sheetView tabSelected="1" workbookViewId="0">
      <selection activeCell="E11" sqref="E11:H11"/>
    </sheetView>
  </sheetViews>
  <sheetFormatPr baseColWidth="10" defaultColWidth="8.7265625" defaultRowHeight="14.5" x14ac:dyDescent="0.35"/>
  <cols>
    <col min="1" max="1" width="3" customWidth="1"/>
    <col min="2" max="2" width="46" customWidth="1"/>
    <col min="3" max="4" width="22" customWidth="1"/>
    <col min="5" max="8" width="16" customWidth="1"/>
  </cols>
  <sheetData>
    <row r="3" spans="2:8" ht="23" x14ac:dyDescent="0.35">
      <c r="B3" s="43" t="s">
        <v>0</v>
      </c>
      <c r="C3" s="43"/>
      <c r="D3" s="43"/>
      <c r="E3" s="43"/>
      <c r="F3" s="43"/>
      <c r="G3" s="43"/>
      <c r="H3" s="43"/>
    </row>
    <row r="4" spans="2:8" ht="16.5" x14ac:dyDescent="0.35">
      <c r="B4" s="44" t="s">
        <v>1</v>
      </c>
      <c r="C4" s="44"/>
      <c r="D4" s="44"/>
      <c r="E4" s="44"/>
      <c r="F4" s="44"/>
      <c r="G4" s="44"/>
      <c r="H4" s="44"/>
    </row>
    <row r="6" spans="2:8" x14ac:dyDescent="0.35">
      <c r="B6" s="45" t="s">
        <v>337</v>
      </c>
      <c r="C6" s="45"/>
      <c r="D6" s="45"/>
      <c r="E6" s="45"/>
      <c r="F6" s="45"/>
      <c r="G6" s="45"/>
      <c r="H6" s="45"/>
    </row>
    <row r="8" spans="2:8" ht="15.5" x14ac:dyDescent="0.35">
      <c r="B8" s="46" t="s">
        <v>2</v>
      </c>
      <c r="C8" s="46"/>
      <c r="D8" s="46"/>
      <c r="E8" s="46"/>
      <c r="F8" s="46"/>
      <c r="G8" s="46"/>
      <c r="H8" s="46"/>
    </row>
    <row r="9" spans="2:8" x14ac:dyDescent="0.35">
      <c r="B9" s="47" t="s">
        <v>3</v>
      </c>
      <c r="C9" s="47"/>
      <c r="D9" s="47"/>
      <c r="E9" s="48" t="s">
        <v>338</v>
      </c>
      <c r="F9" s="48"/>
      <c r="G9" s="48"/>
      <c r="H9" s="48"/>
    </row>
    <row r="10" spans="2:8" x14ac:dyDescent="0.35">
      <c r="B10" s="47" t="s">
        <v>4</v>
      </c>
      <c r="C10" s="47"/>
      <c r="D10" s="47"/>
      <c r="E10" s="48" t="s">
        <v>5</v>
      </c>
      <c r="F10" s="48"/>
      <c r="G10" s="48"/>
      <c r="H10" s="48"/>
    </row>
    <row r="11" spans="2:8" x14ac:dyDescent="0.35">
      <c r="B11" s="47" t="s">
        <v>6</v>
      </c>
      <c r="C11" s="47"/>
      <c r="D11" s="47"/>
      <c r="E11" s="48" t="s">
        <v>339</v>
      </c>
      <c r="F11" s="48"/>
      <c r="G11" s="48"/>
      <c r="H11" s="48"/>
    </row>
    <row r="12" spans="2:8" x14ac:dyDescent="0.35">
      <c r="B12" s="47" t="s">
        <v>7</v>
      </c>
      <c r="C12" s="47"/>
      <c r="D12" s="47"/>
      <c r="E12" s="48" t="s">
        <v>8</v>
      </c>
      <c r="F12" s="48"/>
      <c r="G12" s="48"/>
      <c r="H12" s="48"/>
    </row>
    <row r="13" spans="2:8" x14ac:dyDescent="0.35">
      <c r="B13" s="47" t="s">
        <v>9</v>
      </c>
      <c r="C13" s="47"/>
      <c r="D13" s="47"/>
      <c r="E13" s="48" t="s">
        <v>10</v>
      </c>
      <c r="F13" s="48"/>
      <c r="G13" s="48"/>
      <c r="H13" s="48"/>
    </row>
    <row r="14" spans="2:8" x14ac:dyDescent="0.35">
      <c r="B14" s="47" t="s">
        <v>11</v>
      </c>
      <c r="C14" s="47"/>
      <c r="D14" s="47"/>
      <c r="E14" s="48" t="s">
        <v>12</v>
      </c>
      <c r="F14" s="48"/>
      <c r="G14" s="48"/>
      <c r="H14" s="48"/>
    </row>
    <row r="17" spans="2:8" ht="15.5" x14ac:dyDescent="0.35">
      <c r="B17" s="49" t="s">
        <v>13</v>
      </c>
      <c r="C17" s="49"/>
      <c r="D17" s="49"/>
      <c r="E17" s="49"/>
      <c r="F17" s="49"/>
      <c r="G17" s="49"/>
      <c r="H17" s="49"/>
    </row>
    <row r="19" spans="2:8" x14ac:dyDescent="0.35">
      <c r="B19" s="1" t="s">
        <v>14</v>
      </c>
      <c r="C19" s="50" t="s">
        <v>15</v>
      </c>
      <c r="D19" s="50"/>
      <c r="E19" s="51" t="s">
        <v>16</v>
      </c>
      <c r="F19" s="51"/>
      <c r="G19" s="51"/>
      <c r="H19" s="51"/>
    </row>
    <row r="21" spans="2:8" x14ac:dyDescent="0.35">
      <c r="B21" s="1" t="s">
        <v>17</v>
      </c>
      <c r="C21" s="52" t="s">
        <v>18</v>
      </c>
      <c r="D21" s="52"/>
      <c r="E21" s="51" t="s">
        <v>19</v>
      </c>
      <c r="F21" s="51"/>
      <c r="G21" s="51"/>
      <c r="H21" s="51"/>
    </row>
    <row r="23" spans="2:8" x14ac:dyDescent="0.35">
      <c r="B23" s="1" t="s">
        <v>20</v>
      </c>
      <c r="C23" s="53" t="s">
        <v>21</v>
      </c>
      <c r="D23" s="53"/>
      <c r="E23" s="51" t="s">
        <v>22</v>
      </c>
      <c r="F23" s="51"/>
      <c r="G23" s="51"/>
      <c r="H23" s="51"/>
    </row>
    <row r="25" spans="2:8" x14ac:dyDescent="0.35">
      <c r="B25" s="1" t="s">
        <v>23</v>
      </c>
      <c r="C25" s="54" t="s">
        <v>24</v>
      </c>
      <c r="D25" s="54"/>
      <c r="E25" s="51" t="s">
        <v>25</v>
      </c>
      <c r="F25" s="51"/>
      <c r="G25" s="51"/>
      <c r="H25" s="51"/>
    </row>
    <row r="28" spans="2:8" x14ac:dyDescent="0.35">
      <c r="B28" s="55" t="s">
        <v>26</v>
      </c>
      <c r="C28" s="55"/>
      <c r="D28" s="55"/>
      <c r="E28" s="55"/>
      <c r="F28" s="55"/>
      <c r="G28" s="55"/>
      <c r="H28" s="55"/>
    </row>
    <row r="29" spans="2:8" x14ac:dyDescent="0.35">
      <c r="B29" s="56" t="s">
        <v>27</v>
      </c>
      <c r="C29" s="56"/>
      <c r="D29" s="57" t="s">
        <v>28</v>
      </c>
      <c r="E29" s="57"/>
      <c r="F29" s="54" t="s">
        <v>29</v>
      </c>
      <c r="G29" s="54"/>
      <c r="H29" s="54"/>
    </row>
    <row r="30" spans="2:8" x14ac:dyDescent="0.35">
      <c r="B30" s="58" t="s">
        <v>30</v>
      </c>
      <c r="C30" s="58"/>
      <c r="D30" s="59" t="s">
        <v>31</v>
      </c>
      <c r="E30" s="59"/>
      <c r="F30" s="60" t="s">
        <v>32</v>
      </c>
      <c r="G30" s="60"/>
      <c r="H30" s="60"/>
    </row>
    <row r="31" spans="2:8" x14ac:dyDescent="0.35">
      <c r="B31" s="61" t="s">
        <v>33</v>
      </c>
      <c r="C31" s="61"/>
      <c r="D31" s="62" t="s">
        <v>34</v>
      </c>
      <c r="E31" s="62"/>
      <c r="F31" s="50" t="s">
        <v>35</v>
      </c>
      <c r="G31" s="50"/>
      <c r="H31" s="50"/>
    </row>
    <row r="34" spans="2:8" x14ac:dyDescent="0.35">
      <c r="B34" s="55" t="s">
        <v>36</v>
      </c>
      <c r="C34" s="55"/>
      <c r="D34" s="55"/>
      <c r="E34" s="55"/>
      <c r="F34" s="55"/>
      <c r="G34" s="55"/>
      <c r="H34" s="55"/>
    </row>
    <row r="35" spans="2:8" x14ac:dyDescent="0.35">
      <c r="B35" s="63" t="s">
        <v>37</v>
      </c>
      <c r="C35" s="63"/>
      <c r="D35" s="63"/>
      <c r="E35" s="64" t="s">
        <v>38</v>
      </c>
      <c r="F35" s="64"/>
      <c r="G35" s="64"/>
      <c r="H35" s="64"/>
    </row>
    <row r="36" spans="2:8" x14ac:dyDescent="0.35">
      <c r="B36" s="65" t="s">
        <v>39</v>
      </c>
      <c r="C36" s="65"/>
      <c r="D36" s="65"/>
      <c r="E36" s="66" t="s">
        <v>40</v>
      </c>
      <c r="F36" s="66"/>
      <c r="G36" s="66"/>
      <c r="H36" s="66"/>
    </row>
    <row r="37" spans="2:8" x14ac:dyDescent="0.35">
      <c r="B37" s="58" t="s">
        <v>41</v>
      </c>
      <c r="C37" s="58"/>
      <c r="D37" s="58"/>
      <c r="E37" s="59" t="s">
        <v>42</v>
      </c>
      <c r="F37" s="59"/>
      <c r="G37" s="59"/>
      <c r="H37" s="59"/>
    </row>
    <row r="38" spans="2:8" x14ac:dyDescent="0.35">
      <c r="B38" s="67" t="s">
        <v>43</v>
      </c>
      <c r="C38" s="67"/>
      <c r="D38" s="67"/>
      <c r="E38" s="68" t="s">
        <v>44</v>
      </c>
      <c r="F38" s="68"/>
      <c r="G38" s="68"/>
      <c r="H38" s="68"/>
    </row>
    <row r="39" spans="2:8" x14ac:dyDescent="0.35">
      <c r="B39" s="69" t="s">
        <v>45</v>
      </c>
      <c r="C39" s="69"/>
      <c r="D39" s="69"/>
      <c r="E39" s="70" t="s">
        <v>46</v>
      </c>
      <c r="F39" s="70"/>
      <c r="G39" s="70"/>
      <c r="H39" s="70"/>
    </row>
  </sheetData>
  <sheetProtection sheet="1"/>
  <mergeCells count="46">
    <mergeCell ref="B37:D37"/>
    <mergeCell ref="E37:H37"/>
    <mergeCell ref="B38:D38"/>
    <mergeCell ref="E38:H38"/>
    <mergeCell ref="B39:D39"/>
    <mergeCell ref="E39:H39"/>
    <mergeCell ref="B34:H34"/>
    <mergeCell ref="B35:D35"/>
    <mergeCell ref="E35:H35"/>
    <mergeCell ref="B36:D36"/>
    <mergeCell ref="E36:H36"/>
    <mergeCell ref="B30:C30"/>
    <mergeCell ref="D30:E30"/>
    <mergeCell ref="F30:H30"/>
    <mergeCell ref="B31:C31"/>
    <mergeCell ref="D31:E31"/>
    <mergeCell ref="F31:H31"/>
    <mergeCell ref="C25:D25"/>
    <mergeCell ref="E25:H25"/>
    <mergeCell ref="B28:H28"/>
    <mergeCell ref="B29:C29"/>
    <mergeCell ref="D29:E29"/>
    <mergeCell ref="F29:H29"/>
    <mergeCell ref="C19:D19"/>
    <mergeCell ref="E19:H19"/>
    <mergeCell ref="C21:D21"/>
    <mergeCell ref="E21:H21"/>
    <mergeCell ref="C23:D23"/>
    <mergeCell ref="E23:H23"/>
    <mergeCell ref="B13:D13"/>
    <mergeCell ref="E13:H13"/>
    <mergeCell ref="B14:D14"/>
    <mergeCell ref="E14:H14"/>
    <mergeCell ref="B17:H17"/>
    <mergeCell ref="B10:D10"/>
    <mergeCell ref="E10:H10"/>
    <mergeCell ref="B11:D11"/>
    <mergeCell ref="E11:H11"/>
    <mergeCell ref="B12:D12"/>
    <mergeCell ref="E12:H12"/>
    <mergeCell ref="B3:H3"/>
    <mergeCell ref="B4:H4"/>
    <mergeCell ref="B6:H6"/>
    <mergeCell ref="B8:H8"/>
    <mergeCell ref="B9:D9"/>
    <mergeCell ref="E9:H9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27"/>
  <sheetViews>
    <sheetView topLeftCell="A36" workbookViewId="0">
      <selection activeCell="E29" sqref="E29"/>
    </sheetView>
  </sheetViews>
  <sheetFormatPr baseColWidth="10" defaultColWidth="8.7265625" defaultRowHeight="14.5" x14ac:dyDescent="0.35"/>
  <cols>
    <col min="1" max="1" width="3" customWidth="1"/>
    <col min="2" max="2" width="46" customWidth="1"/>
    <col min="3" max="4" width="22" customWidth="1"/>
    <col min="5" max="8" width="16" customWidth="1"/>
  </cols>
  <sheetData>
    <row r="3" spans="2:8" ht="20" x14ac:dyDescent="0.35">
      <c r="B3" s="71" t="s">
        <v>47</v>
      </c>
      <c r="C3" s="71"/>
      <c r="D3" s="71"/>
      <c r="E3" s="71"/>
      <c r="F3" s="71"/>
      <c r="G3" s="71"/>
      <c r="H3" s="71"/>
    </row>
    <row r="4" spans="2:8" x14ac:dyDescent="0.35">
      <c r="B4" s="72" t="s">
        <v>48</v>
      </c>
      <c r="C4" s="72"/>
      <c r="D4" s="72"/>
      <c r="E4" s="72"/>
      <c r="F4" s="72"/>
      <c r="G4" s="72"/>
      <c r="H4" s="72"/>
    </row>
    <row r="6" spans="2:8" ht="15.5" x14ac:dyDescent="0.35">
      <c r="B6" s="46" t="s">
        <v>49</v>
      </c>
      <c r="C6" s="46"/>
      <c r="D6" s="46"/>
      <c r="E6" s="46"/>
      <c r="F6" s="46"/>
      <c r="G6" s="46"/>
      <c r="H6" s="46"/>
    </row>
    <row r="7" spans="2:8" x14ac:dyDescent="0.35">
      <c r="B7" s="73" t="s">
        <v>50</v>
      </c>
      <c r="C7" s="73"/>
      <c r="D7" s="73"/>
      <c r="E7" s="73"/>
      <c r="F7" s="73"/>
      <c r="G7" s="73"/>
      <c r="H7" s="73"/>
    </row>
    <row r="8" spans="2:8" x14ac:dyDescent="0.35">
      <c r="B8" s="73"/>
      <c r="C8" s="73"/>
      <c r="D8" s="73"/>
      <c r="E8" s="73"/>
      <c r="F8" s="73"/>
      <c r="G8" s="73"/>
      <c r="H8" s="73"/>
    </row>
    <row r="9" spans="2:8" x14ac:dyDescent="0.35">
      <c r="B9" s="73"/>
      <c r="C9" s="73"/>
      <c r="D9" s="73"/>
      <c r="E9" s="73"/>
      <c r="F9" s="73"/>
      <c r="G9" s="73"/>
      <c r="H9" s="73"/>
    </row>
    <row r="11" spans="2:8" ht="16.5" x14ac:dyDescent="0.35">
      <c r="B11" s="5" t="s">
        <v>51</v>
      </c>
      <c r="C11" s="73" t="s">
        <v>52</v>
      </c>
      <c r="D11" s="73"/>
      <c r="E11" s="73"/>
      <c r="F11" s="73"/>
      <c r="G11" s="73"/>
      <c r="H11" s="73"/>
    </row>
    <row r="12" spans="2:8" ht="16.5" x14ac:dyDescent="0.35">
      <c r="B12" s="5" t="s">
        <v>51</v>
      </c>
      <c r="C12" s="73" t="s">
        <v>53</v>
      </c>
      <c r="D12" s="73"/>
      <c r="E12" s="73"/>
      <c r="F12" s="73"/>
      <c r="G12" s="73"/>
      <c r="H12" s="73"/>
    </row>
    <row r="13" spans="2:8" ht="16.5" x14ac:dyDescent="0.35">
      <c r="B13" s="5" t="s">
        <v>51</v>
      </c>
      <c r="C13" s="73" t="s">
        <v>54</v>
      </c>
      <c r="D13" s="73"/>
      <c r="E13" s="73"/>
      <c r="F13" s="73"/>
      <c r="G13" s="73"/>
      <c r="H13" s="73"/>
    </row>
    <row r="16" spans="2:8" x14ac:dyDescent="0.35">
      <c r="B16" s="74" t="s">
        <v>55</v>
      </c>
      <c r="C16" s="74"/>
      <c r="D16" s="74"/>
      <c r="E16" s="74"/>
      <c r="F16" s="74"/>
      <c r="G16" s="74"/>
      <c r="H16" s="74"/>
    </row>
    <row r="17" spans="2:8" x14ac:dyDescent="0.35">
      <c r="B17" s="74"/>
      <c r="C17" s="74"/>
      <c r="D17" s="74"/>
      <c r="E17" s="74"/>
      <c r="F17" s="74"/>
      <c r="G17" s="74"/>
      <c r="H17" s="74"/>
    </row>
    <row r="18" spans="2:8" x14ac:dyDescent="0.35">
      <c r="B18" s="74"/>
      <c r="C18" s="74"/>
      <c r="D18" s="74"/>
      <c r="E18" s="74"/>
      <c r="F18" s="74"/>
      <c r="G18" s="74"/>
      <c r="H18" s="74"/>
    </row>
    <row r="19" spans="2:8" x14ac:dyDescent="0.35">
      <c r="B19" s="74"/>
      <c r="C19" s="74"/>
      <c r="D19" s="74"/>
      <c r="E19" s="74"/>
      <c r="F19" s="74"/>
      <c r="G19" s="74"/>
      <c r="H19" s="74"/>
    </row>
    <row r="21" spans="2:8" x14ac:dyDescent="0.35">
      <c r="B21" s="55" t="s">
        <v>56</v>
      </c>
      <c r="C21" s="55"/>
      <c r="D21" s="55"/>
      <c r="E21" s="55"/>
      <c r="F21" s="55"/>
      <c r="G21" s="55"/>
      <c r="H21" s="55"/>
    </row>
    <row r="22" spans="2:8" x14ac:dyDescent="0.35">
      <c r="B22" s="47" t="s">
        <v>57</v>
      </c>
      <c r="C22" s="47"/>
      <c r="D22" s="47"/>
      <c r="E22" s="75" t="s">
        <v>339</v>
      </c>
      <c r="F22" s="75"/>
      <c r="G22" s="75"/>
      <c r="H22" s="75"/>
    </row>
    <row r="23" spans="2:8" x14ac:dyDescent="0.35">
      <c r="B23" s="47" t="s">
        <v>7</v>
      </c>
      <c r="C23" s="47"/>
      <c r="D23" s="47"/>
      <c r="E23" s="75" t="s">
        <v>8</v>
      </c>
      <c r="F23" s="75"/>
      <c r="G23" s="75"/>
      <c r="H23" s="75"/>
    </row>
    <row r="24" spans="2:8" x14ac:dyDescent="0.35">
      <c r="B24" s="47" t="s">
        <v>3</v>
      </c>
      <c r="C24" s="47"/>
      <c r="D24" s="47"/>
      <c r="E24" s="75" t="s">
        <v>338</v>
      </c>
      <c r="F24" s="75"/>
      <c r="G24" s="75"/>
      <c r="H24" s="75"/>
    </row>
    <row r="25" spans="2:8" x14ac:dyDescent="0.35">
      <c r="B25" s="47" t="s">
        <v>58</v>
      </c>
      <c r="C25" s="47"/>
      <c r="D25" s="47"/>
      <c r="E25" s="75" t="s">
        <v>59</v>
      </c>
      <c r="F25" s="75"/>
      <c r="G25" s="75"/>
      <c r="H25" s="75"/>
    </row>
    <row r="26" spans="2:8" x14ac:dyDescent="0.35">
      <c r="B26" s="47" t="s">
        <v>60</v>
      </c>
      <c r="C26" s="47"/>
      <c r="D26" s="47"/>
      <c r="E26" s="75" t="s">
        <v>61</v>
      </c>
      <c r="F26" s="75"/>
      <c r="G26" s="75"/>
      <c r="H26" s="75"/>
    </row>
    <row r="27" spans="2:8" x14ac:dyDescent="0.35">
      <c r="B27" s="47" t="s">
        <v>62</v>
      </c>
      <c r="C27" s="47"/>
      <c r="D27" s="47"/>
      <c r="E27" s="75" t="s">
        <v>63</v>
      </c>
      <c r="F27" s="75"/>
      <c r="G27" s="75"/>
      <c r="H27" s="75"/>
    </row>
  </sheetData>
  <sheetProtection sheet="1" objects="1" scenarios="1"/>
  <mergeCells count="21">
    <mergeCell ref="B26:D26"/>
    <mergeCell ref="E26:H26"/>
    <mergeCell ref="B27:D27"/>
    <mergeCell ref="E27:H27"/>
    <mergeCell ref="B23:D23"/>
    <mergeCell ref="E23:H23"/>
    <mergeCell ref="B24:D24"/>
    <mergeCell ref="E24:H24"/>
    <mergeCell ref="B25:D25"/>
    <mergeCell ref="E25:H25"/>
    <mergeCell ref="C12:H12"/>
    <mergeCell ref="C13:H13"/>
    <mergeCell ref="B16:H19"/>
    <mergeCell ref="B21:H21"/>
    <mergeCell ref="B22:D22"/>
    <mergeCell ref="E22:H22"/>
    <mergeCell ref="B3:H3"/>
    <mergeCell ref="B4:H4"/>
    <mergeCell ref="B6:H6"/>
    <mergeCell ref="B7:H9"/>
    <mergeCell ref="C11:H1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5"/>
  <sheetViews>
    <sheetView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60" customWidth="1"/>
    <col min="5" max="5" width="17" customWidth="1"/>
    <col min="6" max="6" width="36" customWidth="1"/>
    <col min="7" max="7" width="20" customWidth="1"/>
  </cols>
  <sheetData>
    <row r="2" spans="2:7" ht="18" x14ac:dyDescent="0.35">
      <c r="B2" s="76" t="s">
        <v>64</v>
      </c>
      <c r="C2" s="76"/>
      <c r="D2" s="76"/>
      <c r="E2" s="76"/>
      <c r="F2" s="76"/>
      <c r="G2" s="76"/>
    </row>
    <row r="3" spans="2:7" x14ac:dyDescent="0.35">
      <c r="B3" s="77" t="s">
        <v>65</v>
      </c>
      <c r="C3" s="77"/>
      <c r="D3" s="77"/>
      <c r="E3" s="77"/>
      <c r="F3" s="77"/>
      <c r="G3" s="77"/>
    </row>
    <row r="5" spans="2:7" ht="26" x14ac:dyDescent="0.35">
      <c r="B5" s="6" t="s">
        <v>66</v>
      </c>
      <c r="C5" s="6" t="s">
        <v>67</v>
      </c>
      <c r="D5" s="6" t="s">
        <v>68</v>
      </c>
      <c r="E5" s="6" t="s">
        <v>69</v>
      </c>
      <c r="F5" s="6" t="s">
        <v>70</v>
      </c>
      <c r="G5" s="6" t="s">
        <v>71</v>
      </c>
    </row>
    <row r="7" spans="2:7" x14ac:dyDescent="0.35">
      <c r="B7" s="78" t="s">
        <v>72</v>
      </c>
      <c r="C7" s="78"/>
      <c r="D7" s="78"/>
      <c r="E7" s="78"/>
      <c r="F7" s="78"/>
      <c r="G7" s="78"/>
    </row>
    <row r="9" spans="2:7" ht="25" x14ac:dyDescent="0.35">
      <c r="B9" s="7">
        <v>1</v>
      </c>
      <c r="C9" s="8" t="s">
        <v>73</v>
      </c>
      <c r="D9" s="4" t="s">
        <v>74</v>
      </c>
      <c r="E9" s="9" t="s">
        <v>75</v>
      </c>
      <c r="F9" s="10" t="s">
        <v>76</v>
      </c>
      <c r="G9" s="11" t="s">
        <v>77</v>
      </c>
    </row>
    <row r="10" spans="2:7" ht="25" x14ac:dyDescent="0.35">
      <c r="B10" s="7">
        <v>2</v>
      </c>
      <c r="C10" s="8" t="s">
        <v>78</v>
      </c>
      <c r="D10" s="4" t="s">
        <v>79</v>
      </c>
      <c r="E10" s="9" t="s">
        <v>80</v>
      </c>
      <c r="F10" s="10" t="s">
        <v>76</v>
      </c>
      <c r="G10" s="11" t="s">
        <v>81</v>
      </c>
    </row>
    <row r="11" spans="2:7" ht="25" x14ac:dyDescent="0.35">
      <c r="B11" s="7">
        <v>3</v>
      </c>
      <c r="C11" s="8" t="s">
        <v>82</v>
      </c>
      <c r="D11" s="4" t="s">
        <v>83</v>
      </c>
      <c r="E11" s="9" t="s">
        <v>80</v>
      </c>
      <c r="F11" s="10" t="s">
        <v>76</v>
      </c>
      <c r="G11" s="11" t="s">
        <v>84</v>
      </c>
    </row>
    <row r="12" spans="2:7" ht="25" x14ac:dyDescent="0.35">
      <c r="B12" s="7">
        <v>4</v>
      </c>
      <c r="C12" s="8" t="s">
        <v>85</v>
      </c>
      <c r="D12" s="4" t="s">
        <v>86</v>
      </c>
      <c r="E12" s="9" t="s">
        <v>87</v>
      </c>
      <c r="F12" s="10" t="s">
        <v>76</v>
      </c>
      <c r="G12" s="11" t="s">
        <v>88</v>
      </c>
    </row>
    <row r="14" spans="2:7" x14ac:dyDescent="0.35">
      <c r="B14" s="78" t="s">
        <v>89</v>
      </c>
      <c r="C14" s="78"/>
      <c r="D14" s="78"/>
      <c r="E14" s="78"/>
      <c r="F14" s="78"/>
      <c r="G14" s="78"/>
    </row>
    <row r="16" spans="2:7" ht="25" x14ac:dyDescent="0.35">
      <c r="B16" s="7">
        <v>5</v>
      </c>
      <c r="C16" s="8" t="s">
        <v>90</v>
      </c>
      <c r="D16" s="4" t="s">
        <v>91</v>
      </c>
      <c r="E16" s="9" t="s">
        <v>80</v>
      </c>
      <c r="F16" s="10" t="s">
        <v>76</v>
      </c>
      <c r="G16" s="11" t="s">
        <v>92</v>
      </c>
    </row>
    <row r="17" spans="2:7" ht="25" x14ac:dyDescent="0.35">
      <c r="B17" s="7">
        <v>6</v>
      </c>
      <c r="C17" s="8" t="s">
        <v>93</v>
      </c>
      <c r="D17" s="4" t="s">
        <v>94</v>
      </c>
      <c r="E17" s="9" t="s">
        <v>80</v>
      </c>
      <c r="F17" s="10" t="s">
        <v>76</v>
      </c>
      <c r="G17" s="11" t="s">
        <v>95</v>
      </c>
    </row>
    <row r="18" spans="2:7" ht="25" x14ac:dyDescent="0.35">
      <c r="B18" s="7">
        <v>7</v>
      </c>
      <c r="C18" s="8" t="s">
        <v>96</v>
      </c>
      <c r="D18" s="4" t="s">
        <v>97</v>
      </c>
      <c r="E18" s="9" t="s">
        <v>75</v>
      </c>
      <c r="F18" s="10" t="s">
        <v>76</v>
      </c>
      <c r="G18" s="11" t="s">
        <v>98</v>
      </c>
    </row>
    <row r="19" spans="2:7" ht="25" x14ac:dyDescent="0.35">
      <c r="B19" s="7">
        <v>8</v>
      </c>
      <c r="C19" s="8" t="s">
        <v>99</v>
      </c>
      <c r="D19" s="4" t="s">
        <v>100</v>
      </c>
      <c r="E19" s="9" t="s">
        <v>87</v>
      </c>
      <c r="F19" s="10" t="s">
        <v>76</v>
      </c>
      <c r="G19" s="11" t="s">
        <v>101</v>
      </c>
    </row>
    <row r="20" spans="2:7" x14ac:dyDescent="0.35">
      <c r="B20" s="7">
        <v>9</v>
      </c>
      <c r="C20" s="8" t="s">
        <v>102</v>
      </c>
      <c r="D20" s="4" t="s">
        <v>103</v>
      </c>
      <c r="E20" s="9" t="s">
        <v>87</v>
      </c>
      <c r="F20" s="10" t="s">
        <v>76</v>
      </c>
      <c r="G20" s="11" t="s">
        <v>104</v>
      </c>
    </row>
    <row r="22" spans="2:7" x14ac:dyDescent="0.35">
      <c r="B22" s="78" t="s">
        <v>105</v>
      </c>
      <c r="C22" s="78"/>
      <c r="D22" s="78"/>
      <c r="E22" s="78"/>
      <c r="F22" s="78"/>
      <c r="G22" s="78"/>
    </row>
    <row r="24" spans="2:7" ht="25" x14ac:dyDescent="0.35">
      <c r="B24" s="7">
        <v>10</v>
      </c>
      <c r="C24" s="8" t="s">
        <v>106</v>
      </c>
      <c r="D24" s="4" t="s">
        <v>107</v>
      </c>
      <c r="E24" s="9" t="s">
        <v>75</v>
      </c>
      <c r="F24" s="10" t="s">
        <v>76</v>
      </c>
      <c r="G24" s="11" t="s">
        <v>108</v>
      </c>
    </row>
    <row r="25" spans="2:7" x14ac:dyDescent="0.35">
      <c r="B25" s="7">
        <v>11</v>
      </c>
      <c r="C25" s="8" t="s">
        <v>109</v>
      </c>
      <c r="D25" s="4" t="s">
        <v>110</v>
      </c>
      <c r="E25" s="9" t="s">
        <v>75</v>
      </c>
      <c r="F25" s="10" t="s">
        <v>76</v>
      </c>
      <c r="G25" s="11" t="s">
        <v>111</v>
      </c>
    </row>
    <row r="26" spans="2:7" ht="25" x14ac:dyDescent="0.35">
      <c r="B26" s="7">
        <v>12</v>
      </c>
      <c r="C26" s="8" t="s">
        <v>112</v>
      </c>
      <c r="D26" s="4" t="s">
        <v>113</v>
      </c>
      <c r="E26" s="9" t="s">
        <v>87</v>
      </c>
      <c r="F26" s="10" t="s">
        <v>76</v>
      </c>
      <c r="G26" s="11" t="s">
        <v>114</v>
      </c>
    </row>
    <row r="27" spans="2:7" ht="25" x14ac:dyDescent="0.35">
      <c r="B27" s="7">
        <v>13</v>
      </c>
      <c r="C27" s="8" t="s">
        <v>115</v>
      </c>
      <c r="D27" s="4" t="s">
        <v>116</v>
      </c>
      <c r="E27" s="9" t="s">
        <v>87</v>
      </c>
      <c r="F27" s="10" t="s">
        <v>76</v>
      </c>
      <c r="G27" s="11" t="s">
        <v>117</v>
      </c>
    </row>
    <row r="28" spans="2:7" x14ac:dyDescent="0.35">
      <c r="B28" s="7">
        <v>14</v>
      </c>
      <c r="C28" s="8" t="s">
        <v>118</v>
      </c>
      <c r="D28" s="4" t="s">
        <v>119</v>
      </c>
      <c r="E28" s="9" t="s">
        <v>87</v>
      </c>
      <c r="F28" s="10" t="s">
        <v>76</v>
      </c>
      <c r="G28" s="11" t="s">
        <v>120</v>
      </c>
    </row>
    <row r="30" spans="2:7" x14ac:dyDescent="0.35">
      <c r="B30" s="78" t="s">
        <v>121</v>
      </c>
      <c r="C30" s="78"/>
      <c r="D30" s="78"/>
      <c r="E30" s="78"/>
      <c r="F30" s="78"/>
      <c r="G30" s="78"/>
    </row>
    <row r="32" spans="2:7" ht="25" x14ac:dyDescent="0.35">
      <c r="B32" s="7">
        <v>15</v>
      </c>
      <c r="C32" s="8" t="s">
        <v>122</v>
      </c>
      <c r="D32" s="4" t="s">
        <v>123</v>
      </c>
      <c r="E32" s="9" t="s">
        <v>87</v>
      </c>
      <c r="F32" s="10" t="s">
        <v>76</v>
      </c>
      <c r="G32" s="11" t="s">
        <v>124</v>
      </c>
    </row>
    <row r="33" spans="2:7" ht="25" x14ac:dyDescent="0.35">
      <c r="B33" s="7">
        <v>16</v>
      </c>
      <c r="C33" s="8" t="s">
        <v>125</v>
      </c>
      <c r="D33" s="4" t="s">
        <v>126</v>
      </c>
      <c r="E33" s="9" t="s">
        <v>87</v>
      </c>
      <c r="F33" s="10" t="s">
        <v>76</v>
      </c>
      <c r="G33" s="11" t="s">
        <v>127</v>
      </c>
    </row>
    <row r="34" spans="2:7" ht="25" x14ac:dyDescent="0.35">
      <c r="B34" s="7">
        <v>17</v>
      </c>
      <c r="C34" s="8" t="s">
        <v>128</v>
      </c>
      <c r="D34" s="4" t="s">
        <v>129</v>
      </c>
      <c r="E34" s="9" t="s">
        <v>80</v>
      </c>
      <c r="F34" s="10" t="s">
        <v>76</v>
      </c>
      <c r="G34" s="11" t="s">
        <v>130</v>
      </c>
    </row>
    <row r="35" spans="2:7" x14ac:dyDescent="0.35">
      <c r="B35" s="7">
        <v>18</v>
      </c>
      <c r="C35" s="8" t="s">
        <v>131</v>
      </c>
      <c r="D35" s="4" t="s">
        <v>132</v>
      </c>
      <c r="E35" s="9" t="s">
        <v>80</v>
      </c>
      <c r="F35" s="10" t="s">
        <v>76</v>
      </c>
      <c r="G35" s="11" t="s">
        <v>127</v>
      </c>
    </row>
    <row r="37" spans="2:7" x14ac:dyDescent="0.35">
      <c r="B37" s="78" t="s">
        <v>133</v>
      </c>
      <c r="C37" s="78"/>
      <c r="D37" s="78"/>
      <c r="E37" s="78"/>
      <c r="F37" s="78"/>
      <c r="G37" s="78"/>
    </row>
    <row r="39" spans="2:7" ht="25" x14ac:dyDescent="0.35">
      <c r="B39" s="7">
        <v>19</v>
      </c>
      <c r="C39" s="8" t="s">
        <v>134</v>
      </c>
      <c r="D39" s="4" t="s">
        <v>135</v>
      </c>
      <c r="E39" s="9" t="s">
        <v>80</v>
      </c>
      <c r="F39" s="10" t="s">
        <v>76</v>
      </c>
      <c r="G39" s="11" t="s">
        <v>136</v>
      </c>
    </row>
    <row r="40" spans="2:7" ht="25" x14ac:dyDescent="0.35">
      <c r="B40" s="7">
        <v>20</v>
      </c>
      <c r="C40" s="8" t="s">
        <v>137</v>
      </c>
      <c r="D40" s="4" t="s">
        <v>138</v>
      </c>
      <c r="E40" s="9" t="s">
        <v>80</v>
      </c>
      <c r="F40" s="10" t="s">
        <v>76</v>
      </c>
      <c r="G40" s="11" t="s">
        <v>139</v>
      </c>
    </row>
    <row r="41" spans="2:7" ht="25" x14ac:dyDescent="0.35">
      <c r="B41" s="7">
        <v>21</v>
      </c>
      <c r="C41" s="8" t="s">
        <v>140</v>
      </c>
      <c r="D41" s="4" t="s">
        <v>141</v>
      </c>
      <c r="E41" s="9" t="s">
        <v>87</v>
      </c>
      <c r="F41" s="10" t="s">
        <v>76</v>
      </c>
      <c r="G41" s="11" t="s">
        <v>142</v>
      </c>
    </row>
    <row r="42" spans="2:7" ht="25" x14ac:dyDescent="0.35">
      <c r="B42" s="7">
        <v>22</v>
      </c>
      <c r="C42" s="8" t="s">
        <v>143</v>
      </c>
      <c r="D42" s="4" t="s">
        <v>144</v>
      </c>
      <c r="E42" s="9" t="s">
        <v>75</v>
      </c>
      <c r="F42" s="10" t="s">
        <v>76</v>
      </c>
      <c r="G42" s="11" t="s">
        <v>145</v>
      </c>
    </row>
    <row r="43" spans="2:7" ht="25" x14ac:dyDescent="0.35">
      <c r="B43" s="7">
        <v>23</v>
      </c>
      <c r="C43" s="8" t="s">
        <v>146</v>
      </c>
      <c r="D43" s="4" t="s">
        <v>147</v>
      </c>
      <c r="E43" s="9" t="s">
        <v>87</v>
      </c>
      <c r="F43" s="10" t="s">
        <v>76</v>
      </c>
      <c r="G43" s="11" t="s">
        <v>139</v>
      </c>
    </row>
    <row r="44" spans="2:7" ht="25" x14ac:dyDescent="0.35">
      <c r="B44" s="7">
        <v>24</v>
      </c>
      <c r="C44" s="8" t="s">
        <v>148</v>
      </c>
      <c r="D44" s="4" t="s">
        <v>149</v>
      </c>
      <c r="E44" s="9" t="s">
        <v>75</v>
      </c>
      <c r="F44" s="10" t="s">
        <v>76</v>
      </c>
      <c r="G44" s="11" t="s">
        <v>136</v>
      </c>
    </row>
    <row r="45" spans="2:7" x14ac:dyDescent="0.35">
      <c r="B45" s="7">
        <v>25</v>
      </c>
      <c r="C45" s="8" t="s">
        <v>150</v>
      </c>
      <c r="D45" s="4" t="s">
        <v>151</v>
      </c>
      <c r="E45" s="9" t="s">
        <v>87</v>
      </c>
      <c r="F45" s="10" t="s">
        <v>76</v>
      </c>
      <c r="G45" s="11" t="s">
        <v>152</v>
      </c>
    </row>
    <row r="47" spans="2:7" x14ac:dyDescent="0.35">
      <c r="B47" s="78" t="s">
        <v>153</v>
      </c>
      <c r="C47" s="78"/>
      <c r="D47" s="78"/>
      <c r="E47" s="78"/>
      <c r="F47" s="78"/>
      <c r="G47" s="78"/>
    </row>
    <row r="49" spans="2:8" ht="25" x14ac:dyDescent="0.35">
      <c r="B49" s="7">
        <v>26</v>
      </c>
      <c r="C49" s="8" t="s">
        <v>154</v>
      </c>
      <c r="D49" s="4" t="s">
        <v>155</v>
      </c>
      <c r="E49" s="9" t="s">
        <v>75</v>
      </c>
      <c r="F49" s="10" t="s">
        <v>76</v>
      </c>
      <c r="G49" s="11" t="s">
        <v>136</v>
      </c>
    </row>
    <row r="50" spans="2:8" ht="25" x14ac:dyDescent="0.35">
      <c r="B50" s="7">
        <v>27</v>
      </c>
      <c r="C50" s="8" t="s">
        <v>156</v>
      </c>
      <c r="D50" s="4" t="s">
        <v>157</v>
      </c>
      <c r="E50" s="9" t="s">
        <v>87</v>
      </c>
      <c r="F50" s="10" t="s">
        <v>76</v>
      </c>
      <c r="G50" s="11" t="s">
        <v>142</v>
      </c>
    </row>
    <row r="51" spans="2:8" ht="25" x14ac:dyDescent="0.35">
      <c r="B51" s="7">
        <v>28</v>
      </c>
      <c r="C51" s="8" t="s">
        <v>158</v>
      </c>
      <c r="D51" s="4" t="s">
        <v>159</v>
      </c>
      <c r="E51" s="9" t="s">
        <v>75</v>
      </c>
      <c r="F51" s="10" t="s">
        <v>76</v>
      </c>
      <c r="G51" s="11" t="s">
        <v>160</v>
      </c>
    </row>
    <row r="52" spans="2:8" x14ac:dyDescent="0.35">
      <c r="B52" s="7">
        <v>29</v>
      </c>
      <c r="C52" s="8" t="s">
        <v>161</v>
      </c>
      <c r="D52" s="4" t="s">
        <v>162</v>
      </c>
      <c r="E52" s="9" t="s">
        <v>80</v>
      </c>
      <c r="F52" s="10" t="s">
        <v>76</v>
      </c>
      <c r="G52" s="11" t="s">
        <v>139</v>
      </c>
    </row>
    <row r="54" spans="2:8" x14ac:dyDescent="0.35">
      <c r="E54" s="12" t="s">
        <v>163</v>
      </c>
      <c r="F54" s="12" t="s">
        <v>164</v>
      </c>
      <c r="G54" s="12" t="s">
        <v>165</v>
      </c>
      <c r="H54" s="12" t="s">
        <v>166</v>
      </c>
    </row>
    <row r="55" spans="2:8" x14ac:dyDescent="0.35">
      <c r="B55" s="79" t="s">
        <v>167</v>
      </c>
      <c r="C55" s="79"/>
      <c r="D55" s="79"/>
      <c r="E55" s="14">
        <f>COUNTIF(E9:E52,"Sí")</f>
        <v>9</v>
      </c>
      <c r="F55" s="15">
        <f>COUNTIF(E9:E52,"Parcial")</f>
        <v>8</v>
      </c>
      <c r="G55" s="16">
        <f>COUNTIF(E9:E52,"No")</f>
        <v>12</v>
      </c>
      <c r="H55" s="17">
        <f>IFERROR((COUNTIF(E9:E52,"Sí")*2+COUNTIF(E9:E52,"Parcial")*1)/(29*2),0)</f>
        <v>0.44827586206896552</v>
      </c>
    </row>
  </sheetData>
  <sheetProtection sheet="1"/>
  <mergeCells count="9">
    <mergeCell ref="B30:G30"/>
    <mergeCell ref="B37:G37"/>
    <mergeCell ref="B47:G47"/>
    <mergeCell ref="B55:D55"/>
    <mergeCell ref="B2:G2"/>
    <mergeCell ref="B3:G3"/>
    <mergeCell ref="B7:G7"/>
    <mergeCell ref="B14:G14"/>
    <mergeCell ref="B22:G22"/>
  </mergeCells>
  <conditionalFormatting sqref="E9:E52">
    <cfRule type="cellIs" dxfId="5" priority="1" operator="equal">
      <formula>"Sí"</formula>
    </cfRule>
    <cfRule type="cellIs" dxfId="4" priority="2" operator="equal">
      <formula>"Parcial"</formula>
    </cfRule>
    <cfRule type="cellIs" dxfId="3" priority="3" operator="equal">
      <formula>"No"</formula>
    </cfRule>
  </conditionalFormatting>
  <dataValidations count="1">
    <dataValidation type="list" allowBlank="1" sqref="E9:E12 E49:E52 E39:E45 E32:E35 E24:E28 E16:E20" xr:uid="{00000000-0002-0000-0200-000000000000}">
      <formula1>"Sí,Parcial,No"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51"/>
  <sheetViews>
    <sheetView topLeftCell="A49"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58" customWidth="1"/>
    <col min="5" max="5" width="12" customWidth="1"/>
    <col min="6" max="6" width="34" customWidth="1"/>
    <col min="7" max="7" width="46" customWidth="1"/>
  </cols>
  <sheetData>
    <row r="2" spans="2:7" ht="18" x14ac:dyDescent="0.35">
      <c r="B2" s="80" t="s">
        <v>168</v>
      </c>
      <c r="C2" s="80"/>
      <c r="D2" s="80"/>
      <c r="E2" s="80"/>
      <c r="F2" s="80"/>
      <c r="G2" s="80"/>
    </row>
    <row r="3" spans="2:7" x14ac:dyDescent="0.35">
      <c r="B3" s="81" t="s">
        <v>169</v>
      </c>
      <c r="C3" s="81"/>
      <c r="D3" s="81"/>
      <c r="E3" s="81"/>
      <c r="F3" s="81"/>
      <c r="G3" s="81"/>
    </row>
    <row r="5" spans="2:7" ht="26" x14ac:dyDescent="0.35">
      <c r="B5" s="18" t="s">
        <v>66</v>
      </c>
      <c r="C5" s="18" t="s">
        <v>170</v>
      </c>
      <c r="D5" s="18" t="s">
        <v>171</v>
      </c>
      <c r="E5" s="18" t="s">
        <v>172</v>
      </c>
      <c r="F5" s="18" t="s">
        <v>173</v>
      </c>
      <c r="G5" s="18" t="s">
        <v>174</v>
      </c>
    </row>
    <row r="7" spans="2:7" x14ac:dyDescent="0.35">
      <c r="B7" s="82" t="s">
        <v>175</v>
      </c>
      <c r="C7" s="82"/>
      <c r="D7" s="82"/>
      <c r="E7" s="82"/>
      <c r="F7" s="82"/>
      <c r="G7" s="82"/>
    </row>
    <row r="9" spans="2:7" ht="26" x14ac:dyDescent="0.35">
      <c r="B9" s="7">
        <v>1</v>
      </c>
      <c r="C9" s="19" t="s">
        <v>176</v>
      </c>
      <c r="D9" s="4" t="s">
        <v>177</v>
      </c>
      <c r="E9" s="20">
        <v>1</v>
      </c>
      <c r="F9" s="10" t="s">
        <v>76</v>
      </c>
      <c r="G9" s="21" t="str">
        <f>IF(E9="","— Sin calificar —",CHOOSE(E9,"Inicial: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0" spans="2:7" ht="26" x14ac:dyDescent="0.35">
      <c r="B10" s="7">
        <v>2</v>
      </c>
      <c r="C10" s="19" t="s">
        <v>178</v>
      </c>
      <c r="D10" s="4" t="s">
        <v>179</v>
      </c>
      <c r="E10" s="20">
        <v>3</v>
      </c>
      <c r="F10" s="10" t="s">
        <v>76</v>
      </c>
      <c r="G10" s="21" t="str">
        <f>IF(E10="","— Sin calificar —",CHOOSE(E10,"Inicial: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11" spans="2:7" ht="26" x14ac:dyDescent="0.35">
      <c r="B11" s="7">
        <v>3</v>
      </c>
      <c r="C11" s="19" t="s">
        <v>180</v>
      </c>
      <c r="D11" s="4" t="s">
        <v>181</v>
      </c>
      <c r="E11" s="20">
        <v>1</v>
      </c>
      <c r="F11" s="10" t="s">
        <v>76</v>
      </c>
      <c r="G11" s="21" t="str">
        <f>IF(E11="","— Sin calificar —",CHOOSE(E11,"Inicial: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2" spans="2:7" ht="26" x14ac:dyDescent="0.35">
      <c r="B12" s="7">
        <v>4</v>
      </c>
      <c r="C12" s="19" t="s">
        <v>182</v>
      </c>
      <c r="D12" s="4" t="s">
        <v>183</v>
      </c>
      <c r="E12" s="20">
        <v>5</v>
      </c>
      <c r="F12" s="10" t="s">
        <v>76</v>
      </c>
      <c r="G12" s="21" t="str">
        <f>IF(E12="","— Sin calificar —",CHOOSE(E12,"Inicial: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Optimizado: Mejora continua activa. Benchmarking y automatización.</v>
      </c>
    </row>
    <row r="14" spans="2:7" x14ac:dyDescent="0.35">
      <c r="B14" s="82" t="s">
        <v>184</v>
      </c>
      <c r="C14" s="82"/>
      <c r="D14" s="82"/>
      <c r="E14" s="82"/>
      <c r="F14" s="82"/>
      <c r="G14" s="82"/>
    </row>
    <row r="16" spans="2:7" ht="26" x14ac:dyDescent="0.35">
      <c r="B16" s="7">
        <v>5</v>
      </c>
      <c r="C16" s="19" t="s">
        <v>185</v>
      </c>
      <c r="D16" s="4" t="s">
        <v>186</v>
      </c>
      <c r="E16" s="20">
        <v>1</v>
      </c>
      <c r="F16" s="10" t="s">
        <v>76</v>
      </c>
      <c r="G16" s="21" t="str">
        <f>IF(E16="","— Sin calificar —",CHOOSE(E16,"Inicial: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7" spans="2:7" ht="26" x14ac:dyDescent="0.35">
      <c r="B17" s="7">
        <v>6</v>
      </c>
      <c r="C17" s="19" t="s">
        <v>187</v>
      </c>
      <c r="D17" s="4" t="s">
        <v>188</v>
      </c>
      <c r="E17" s="20">
        <v>1</v>
      </c>
      <c r="F17" s="10" t="s">
        <v>76</v>
      </c>
      <c r="G17" s="21" t="str">
        <f>IF(E17="","— Sin calificar —",CHOOSE(E17,"Inicial: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8" spans="2:7" ht="26" x14ac:dyDescent="0.35">
      <c r="B18" s="7">
        <v>7</v>
      </c>
      <c r="C18" s="19" t="s">
        <v>189</v>
      </c>
      <c r="D18" s="4" t="s">
        <v>190</v>
      </c>
      <c r="E18" s="20">
        <v>1</v>
      </c>
      <c r="F18" s="10" t="s">
        <v>76</v>
      </c>
      <c r="G18" s="21" t="str">
        <f>IF(E18="","— Sin calificar —",CHOOSE(E18,"Inicial: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19" spans="2:7" ht="26" x14ac:dyDescent="0.35">
      <c r="B19" s="7">
        <v>8</v>
      </c>
      <c r="C19" s="19" t="s">
        <v>191</v>
      </c>
      <c r="D19" s="4" t="s">
        <v>192</v>
      </c>
      <c r="E19" s="20">
        <v>3</v>
      </c>
      <c r="F19" s="10" t="s">
        <v>76</v>
      </c>
      <c r="G19" s="21" t="str">
        <f>IF(E19="","— Sin calificar —",CHOOSE(E19,"Inicial: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20" spans="2:7" ht="26" x14ac:dyDescent="0.35">
      <c r="B20" s="7">
        <v>9</v>
      </c>
      <c r="C20" s="19" t="s">
        <v>193</v>
      </c>
      <c r="D20" s="4" t="s">
        <v>194</v>
      </c>
      <c r="E20" s="20">
        <v>1</v>
      </c>
      <c r="F20" s="10" t="s">
        <v>76</v>
      </c>
      <c r="G20" s="21" t="str">
        <f>IF(E20="","— Sin calificar —",CHOOSE(E20,"Inicial: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2" spans="2:7" x14ac:dyDescent="0.35">
      <c r="B22" s="82" t="s">
        <v>195</v>
      </c>
      <c r="C22" s="82"/>
      <c r="D22" s="82"/>
      <c r="E22" s="82"/>
      <c r="F22" s="82"/>
      <c r="G22" s="82"/>
    </row>
    <row r="24" spans="2:7" ht="26" x14ac:dyDescent="0.35">
      <c r="B24" s="7">
        <v>10</v>
      </c>
      <c r="C24" s="19" t="s">
        <v>196</v>
      </c>
      <c r="D24" s="4" t="s">
        <v>197</v>
      </c>
      <c r="E24" s="20">
        <v>3</v>
      </c>
      <c r="F24" s="10" t="s">
        <v>76</v>
      </c>
      <c r="G24" s="21" t="str">
        <f>IF(E24="","— Sin calificar —",CHOOSE(E24,"Inicial: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25" spans="2:7" ht="26" x14ac:dyDescent="0.35">
      <c r="B25" s="7">
        <v>11</v>
      </c>
      <c r="C25" s="19" t="s">
        <v>198</v>
      </c>
      <c r="D25" s="4" t="s">
        <v>199</v>
      </c>
      <c r="E25" s="20">
        <v>1</v>
      </c>
      <c r="F25" s="10" t="s">
        <v>76</v>
      </c>
      <c r="G25" s="21" t="str">
        <f>IF(E25="","— Sin calificar —",CHOOSE(E25,"Inicial: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26" spans="2:7" ht="26" x14ac:dyDescent="0.35">
      <c r="B26" s="7">
        <v>12</v>
      </c>
      <c r="C26" s="19" t="s">
        <v>200</v>
      </c>
      <c r="D26" s="4" t="s">
        <v>201</v>
      </c>
      <c r="E26" s="20">
        <v>3</v>
      </c>
      <c r="F26" s="10" t="s">
        <v>76</v>
      </c>
      <c r="G26" s="21" t="str">
        <f>IF(E26="","— Sin calificar —",CHOOSE(E26,"Inicial: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27" spans="2:7" ht="26" x14ac:dyDescent="0.35">
      <c r="B27" s="7">
        <v>13</v>
      </c>
      <c r="C27" s="19" t="s">
        <v>202</v>
      </c>
      <c r="D27" s="4" t="s">
        <v>203</v>
      </c>
      <c r="E27" s="20">
        <v>3</v>
      </c>
      <c r="F27" s="10" t="s">
        <v>76</v>
      </c>
      <c r="G27" s="21" t="str">
        <f>IF(E27="","— Sin calificar —",CHOOSE(E27,"Inicial: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29" spans="2:7" x14ac:dyDescent="0.35">
      <c r="B29" s="82" t="s">
        <v>204</v>
      </c>
      <c r="C29" s="82"/>
      <c r="D29" s="82"/>
      <c r="E29" s="82"/>
      <c r="F29" s="82"/>
      <c r="G29" s="82"/>
    </row>
    <row r="31" spans="2:7" ht="26" x14ac:dyDescent="0.35">
      <c r="B31" s="7">
        <v>14</v>
      </c>
      <c r="C31" s="19" t="s">
        <v>205</v>
      </c>
      <c r="D31" s="4" t="s">
        <v>206</v>
      </c>
      <c r="E31" s="20">
        <v>1</v>
      </c>
      <c r="F31" s="10" t="s">
        <v>76</v>
      </c>
      <c r="G31" s="21" t="str">
        <f>IF(E31="","— Sin calificar —",CHOOSE(E31,"Inicial: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2" spans="2:7" ht="26" x14ac:dyDescent="0.35">
      <c r="B32" s="7">
        <v>15</v>
      </c>
      <c r="C32" s="19" t="s">
        <v>207</v>
      </c>
      <c r="D32" s="4" t="s">
        <v>208</v>
      </c>
      <c r="E32" s="20">
        <v>1</v>
      </c>
      <c r="F32" s="10" t="s">
        <v>76</v>
      </c>
      <c r="G32" s="21" t="str">
        <f>IF(E32="","— Sin calificar —",CHOOSE(E32,"Inicial: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3" spans="2:7" ht="26" x14ac:dyDescent="0.35">
      <c r="B33" s="7">
        <v>16</v>
      </c>
      <c r="C33" s="19" t="s">
        <v>209</v>
      </c>
      <c r="D33" s="4" t="s">
        <v>210</v>
      </c>
      <c r="E33" s="20">
        <v>1</v>
      </c>
      <c r="F33" s="10" t="s">
        <v>76</v>
      </c>
      <c r="G33" s="21" t="str">
        <f>IF(E33="","— Sin calificar —",CHOOSE(E33,"Inicial: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34" spans="2:7" ht="26" x14ac:dyDescent="0.35">
      <c r="B34" s="7">
        <v>17</v>
      </c>
      <c r="C34" s="19" t="s">
        <v>211</v>
      </c>
      <c r="D34" s="4" t="s">
        <v>212</v>
      </c>
      <c r="E34" s="20">
        <v>5</v>
      </c>
      <c r="F34" s="10" t="s">
        <v>76</v>
      </c>
      <c r="G34" s="21" t="str">
        <f>IF(E34="","— Sin calificar —",CHOOSE(E34,"Inicial: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Optimizado: Mejora continua activa. Benchmarking y automatización.</v>
      </c>
    </row>
    <row r="35" spans="2:7" ht="26" x14ac:dyDescent="0.35">
      <c r="B35" s="7">
        <v>18</v>
      </c>
      <c r="C35" s="19" t="s">
        <v>213</v>
      </c>
      <c r="D35" s="4" t="s">
        <v>214</v>
      </c>
      <c r="E35" s="20">
        <v>5</v>
      </c>
      <c r="F35" s="10" t="s">
        <v>76</v>
      </c>
      <c r="G35" s="21" t="str">
        <f>IF(E35="","— Sin calificar —",CHOOSE(E35,"Inicial: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Optimizado: Mejora continua activa. Benchmarking y automatización.</v>
      </c>
    </row>
    <row r="37" spans="2:7" x14ac:dyDescent="0.35">
      <c r="B37" s="82" t="s">
        <v>215</v>
      </c>
      <c r="C37" s="82"/>
      <c r="D37" s="82"/>
      <c r="E37" s="82"/>
      <c r="F37" s="82"/>
      <c r="G37" s="82"/>
    </row>
    <row r="39" spans="2:7" ht="26" x14ac:dyDescent="0.35">
      <c r="B39" s="7">
        <v>19</v>
      </c>
      <c r="C39" s="19" t="s">
        <v>216</v>
      </c>
      <c r="D39" s="4" t="s">
        <v>217</v>
      </c>
      <c r="E39" s="20">
        <v>5</v>
      </c>
      <c r="F39" s="10" t="s">
        <v>76</v>
      </c>
      <c r="G39" s="21" t="str">
        <f>IF(E39="","— Sin calificar —",CHOOSE(E39,"Inicial: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Optimizado: Mejora continua activa. Benchmarking y automatización.</v>
      </c>
    </row>
    <row r="40" spans="2:7" ht="26" x14ac:dyDescent="0.35">
      <c r="B40" s="7">
        <v>20</v>
      </c>
      <c r="C40" s="19" t="s">
        <v>218</v>
      </c>
      <c r="D40" s="4" t="s">
        <v>219</v>
      </c>
      <c r="E40" s="20">
        <v>4</v>
      </c>
      <c r="F40" s="10" t="s">
        <v>76</v>
      </c>
      <c r="G40" s="21" t="str">
        <f>IF(E40="","— Sin calificar —",CHOOSE(E40,"Inicial: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Gestionado: Proceso medido con indicadores y métricas definidos.</v>
      </c>
    </row>
    <row r="41" spans="2:7" ht="26" x14ac:dyDescent="0.35">
      <c r="B41" s="7">
        <v>21</v>
      </c>
      <c r="C41" s="19" t="s">
        <v>220</v>
      </c>
      <c r="D41" s="4" t="s">
        <v>221</v>
      </c>
      <c r="E41" s="20">
        <v>5</v>
      </c>
      <c r="F41" s="10" t="s">
        <v>76</v>
      </c>
      <c r="G41" s="21" t="str">
        <f>IF(E41="","— Sin calificar —",CHOOSE(E41,"Inicial: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Optimizado: Mejora continua activa. Benchmarking y automatización.</v>
      </c>
    </row>
    <row r="43" spans="2:7" x14ac:dyDescent="0.35">
      <c r="B43" s="82" t="s">
        <v>222</v>
      </c>
      <c r="C43" s="82"/>
      <c r="D43" s="82"/>
      <c r="E43" s="82"/>
      <c r="F43" s="82"/>
      <c r="G43" s="82"/>
    </row>
    <row r="45" spans="2:7" ht="26" x14ac:dyDescent="0.35">
      <c r="B45" s="7">
        <v>22</v>
      </c>
      <c r="C45" s="19" t="s">
        <v>73</v>
      </c>
      <c r="D45" s="4" t="s">
        <v>223</v>
      </c>
      <c r="E45" s="20">
        <v>1</v>
      </c>
      <c r="F45" s="10" t="s">
        <v>76</v>
      </c>
      <c r="G45" s="21" t="str">
        <f>IF(E45="","— Sin calificar —",CHOOSE(E45,"Inicial: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6" spans="2:7" ht="26" x14ac:dyDescent="0.35">
      <c r="B46" s="7">
        <v>23</v>
      </c>
      <c r="C46" s="19" t="s">
        <v>78</v>
      </c>
      <c r="D46" s="4" t="s">
        <v>224</v>
      </c>
      <c r="E46" s="20">
        <v>2</v>
      </c>
      <c r="F46" s="10" t="s">
        <v>76</v>
      </c>
      <c r="G46" s="21" t="str">
        <f>IF(E46="","— Sin calificar —",CHOOSE(E46,"Inicial: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Básico: Se reconoce la necesidad pero sin estandarización.</v>
      </c>
    </row>
    <row r="47" spans="2:7" ht="26" x14ac:dyDescent="0.35">
      <c r="B47" s="7">
        <v>24</v>
      </c>
      <c r="C47" s="19" t="s">
        <v>82</v>
      </c>
      <c r="D47" s="4" t="s">
        <v>225</v>
      </c>
      <c r="E47" s="20">
        <v>1</v>
      </c>
      <c r="F47" s="10" t="s">
        <v>76</v>
      </c>
      <c r="G47" s="21" t="str">
        <f>IF(E47="","— Sin calificar —",CHOOSE(E47,"Inicial: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Inicial: Sin proceso formal. Acción ad hoc o inexistente.</v>
      </c>
    </row>
    <row r="48" spans="2:7" ht="26" x14ac:dyDescent="0.35">
      <c r="B48" s="7">
        <v>25</v>
      </c>
      <c r="C48" s="19" t="s">
        <v>85</v>
      </c>
      <c r="D48" s="4" t="s">
        <v>226</v>
      </c>
      <c r="E48" s="20">
        <v>3</v>
      </c>
      <c r="F48" s="10" t="s">
        <v>76</v>
      </c>
      <c r="G48" s="21" t="str">
        <f>IF(E48="","— Sin calificar —",CHOOSE(E48,"Inicial: Sin proceso formal. Acción ad hoc o inexistente.","Básico: Se reconoce la necesidad pero sin estandarización.","Definido: Proceso documentado, aprobado y aplicado consistentemente.","Gestionado: Proceso medido con indicadores y métricas definidos.","Optimizado: Mejora continua activa. Benchmarking y automatización."))</f>
        <v>Definido: Proceso documentado, aprobado y aplicado consistentemente.</v>
      </c>
    </row>
    <row r="50" spans="2:8" x14ac:dyDescent="0.35">
      <c r="E50" s="12" t="s">
        <v>227</v>
      </c>
      <c r="F50" s="12" t="s">
        <v>228</v>
      </c>
      <c r="G50" s="12" t="s">
        <v>229</v>
      </c>
      <c r="H50" s="12" t="s">
        <v>230</v>
      </c>
    </row>
    <row r="51" spans="2:8" x14ac:dyDescent="0.35">
      <c r="B51" s="83" t="s">
        <v>231</v>
      </c>
      <c r="C51" s="83"/>
      <c r="D51" s="83"/>
      <c r="E51" s="22">
        <f>IFERROR(AVERAGE(E9:E48),0)</f>
        <v>2.44</v>
      </c>
      <c r="F51" s="15">
        <f>IFERROR(MIN(E9:E48),0)</f>
        <v>1</v>
      </c>
      <c r="G51" s="15">
        <f>IFERROR(MAX(E9:E48),0)</f>
        <v>5</v>
      </c>
      <c r="H51" s="23">
        <f>IFERROR(AVERAGE(E9:E48)/5,0)</f>
        <v>0.48799999999999999</v>
      </c>
    </row>
  </sheetData>
  <sheetProtection sheet="1"/>
  <mergeCells count="9">
    <mergeCell ref="B29:G29"/>
    <mergeCell ref="B37:G37"/>
    <mergeCell ref="B43:G43"/>
    <mergeCell ref="B51:D51"/>
    <mergeCell ref="B2:G2"/>
    <mergeCell ref="B3:G3"/>
    <mergeCell ref="B7:G7"/>
    <mergeCell ref="B14:G14"/>
    <mergeCell ref="B22:G22"/>
  </mergeCells>
  <conditionalFormatting sqref="E9:E48">
    <cfRule type="colorScale" priority="1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dataValidations count="1">
    <dataValidation type="list" allowBlank="1" sqref="E9:E12 E45:E48 E39:E41 E31:E35 E24:E27 E16:E20" xr:uid="{00000000-0002-0000-0300-000000000000}">
      <formula1>"1,2,3,4,5"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57"/>
  <sheetViews>
    <sheetView topLeftCell="A50" workbookViewId="0"/>
  </sheetViews>
  <sheetFormatPr baseColWidth="10" defaultColWidth="8.7265625" defaultRowHeight="14.5" x14ac:dyDescent="0.35"/>
  <cols>
    <col min="1" max="1" width="3" customWidth="1"/>
    <col min="2" max="2" width="5" customWidth="1"/>
    <col min="3" max="3" width="8" customWidth="1"/>
    <col min="4" max="4" width="60" customWidth="1"/>
    <col min="5" max="5" width="17" customWidth="1"/>
    <col min="6" max="6" width="36" customWidth="1"/>
    <col min="7" max="7" width="20" customWidth="1"/>
  </cols>
  <sheetData>
    <row r="2" spans="2:7" ht="18" x14ac:dyDescent="0.35">
      <c r="B2" s="84" t="s">
        <v>232</v>
      </c>
      <c r="C2" s="84"/>
      <c r="D2" s="84"/>
      <c r="E2" s="84"/>
      <c r="F2" s="84"/>
      <c r="G2" s="84"/>
    </row>
    <row r="3" spans="2:7" x14ac:dyDescent="0.35">
      <c r="B3" s="85" t="s">
        <v>233</v>
      </c>
      <c r="C3" s="85"/>
      <c r="D3" s="85"/>
      <c r="E3" s="85"/>
      <c r="F3" s="85"/>
      <c r="G3" s="85"/>
    </row>
    <row r="5" spans="2:7" ht="26" x14ac:dyDescent="0.35">
      <c r="B5" s="24" t="s">
        <v>66</v>
      </c>
      <c r="C5" s="24" t="s">
        <v>67</v>
      </c>
      <c r="D5" s="24" t="s">
        <v>234</v>
      </c>
      <c r="E5" s="24" t="s">
        <v>69</v>
      </c>
      <c r="F5" s="24" t="s">
        <v>235</v>
      </c>
      <c r="G5" s="24" t="s">
        <v>236</v>
      </c>
    </row>
    <row r="7" spans="2:7" x14ac:dyDescent="0.35">
      <c r="B7" s="86" t="s">
        <v>237</v>
      </c>
      <c r="C7" s="86"/>
      <c r="D7" s="86"/>
      <c r="E7" s="86"/>
      <c r="F7" s="86"/>
      <c r="G7" s="86"/>
    </row>
    <row r="9" spans="2:7" ht="25" x14ac:dyDescent="0.35">
      <c r="B9" s="7">
        <v>1</v>
      </c>
      <c r="C9" s="25" t="s">
        <v>238</v>
      </c>
      <c r="D9" s="4" t="s">
        <v>239</v>
      </c>
      <c r="E9" s="9" t="s">
        <v>80</v>
      </c>
      <c r="F9" s="10" t="s">
        <v>76</v>
      </c>
      <c r="G9" s="26" t="s">
        <v>240</v>
      </c>
    </row>
    <row r="11" spans="2:7" ht="25" x14ac:dyDescent="0.35">
      <c r="B11" s="7">
        <v>2</v>
      </c>
      <c r="C11" s="25" t="s">
        <v>241</v>
      </c>
      <c r="D11" s="4" t="s">
        <v>242</v>
      </c>
      <c r="E11" s="9" t="s">
        <v>80</v>
      </c>
      <c r="F11" s="10" t="s">
        <v>76</v>
      </c>
      <c r="G11" s="26" t="s">
        <v>240</v>
      </c>
    </row>
    <row r="13" spans="2:7" ht="25" x14ac:dyDescent="0.35">
      <c r="B13" s="7">
        <v>3</v>
      </c>
      <c r="C13" s="25" t="s">
        <v>243</v>
      </c>
      <c r="D13" s="4" t="s">
        <v>244</v>
      </c>
      <c r="E13" s="9" t="s">
        <v>80</v>
      </c>
      <c r="F13" s="10" t="s">
        <v>76</v>
      </c>
      <c r="G13" s="26" t="s">
        <v>240</v>
      </c>
    </row>
    <row r="15" spans="2:7" ht="25" x14ac:dyDescent="0.35">
      <c r="B15" s="7">
        <v>4</v>
      </c>
      <c r="C15" s="25" t="s">
        <v>245</v>
      </c>
      <c r="D15" s="4" t="s">
        <v>246</v>
      </c>
      <c r="E15" s="9" t="s">
        <v>80</v>
      </c>
      <c r="F15" s="10" t="s">
        <v>76</v>
      </c>
      <c r="G15" s="26" t="s">
        <v>240</v>
      </c>
    </row>
    <row r="17" spans="2:7" x14ac:dyDescent="0.35">
      <c r="B17" s="86" t="s">
        <v>247</v>
      </c>
      <c r="C17" s="86"/>
      <c r="D17" s="86"/>
      <c r="E17" s="86"/>
      <c r="F17" s="86"/>
      <c r="G17" s="86"/>
    </row>
    <row r="19" spans="2:7" ht="25" x14ac:dyDescent="0.35">
      <c r="B19" s="7">
        <v>5</v>
      </c>
      <c r="C19" s="25" t="s">
        <v>248</v>
      </c>
      <c r="D19" s="4" t="s">
        <v>249</v>
      </c>
      <c r="E19" s="9" t="s">
        <v>80</v>
      </c>
      <c r="F19" s="10" t="s">
        <v>76</v>
      </c>
      <c r="G19" s="26" t="s">
        <v>240</v>
      </c>
    </row>
    <row r="20" spans="2:7" x14ac:dyDescent="0.35">
      <c r="B20" s="7">
        <v>6</v>
      </c>
      <c r="C20" s="25" t="s">
        <v>250</v>
      </c>
      <c r="D20" s="4" t="s">
        <v>251</v>
      </c>
      <c r="E20" s="9" t="s">
        <v>87</v>
      </c>
      <c r="F20" s="10" t="s">
        <v>252</v>
      </c>
      <c r="G20" s="26" t="s">
        <v>253</v>
      </c>
    </row>
    <row r="21" spans="2:7" ht="25" x14ac:dyDescent="0.35">
      <c r="B21" s="7">
        <v>7</v>
      </c>
      <c r="C21" s="25" t="s">
        <v>254</v>
      </c>
      <c r="D21" s="4" t="s">
        <v>255</v>
      </c>
      <c r="E21" s="9" t="s">
        <v>80</v>
      </c>
      <c r="F21" s="10" t="s">
        <v>76</v>
      </c>
      <c r="G21" s="26" t="s">
        <v>240</v>
      </c>
    </row>
    <row r="22" spans="2:7" ht="25" x14ac:dyDescent="0.35">
      <c r="B22" s="7">
        <v>8</v>
      </c>
      <c r="C22" s="25" t="s">
        <v>256</v>
      </c>
      <c r="D22" s="4" t="s">
        <v>257</v>
      </c>
      <c r="E22" s="9" t="s">
        <v>80</v>
      </c>
      <c r="F22" s="10" t="s">
        <v>258</v>
      </c>
      <c r="G22" s="26" t="s">
        <v>240</v>
      </c>
    </row>
    <row r="24" spans="2:7" x14ac:dyDescent="0.35">
      <c r="B24" s="86" t="s">
        <v>259</v>
      </c>
      <c r="C24" s="86"/>
      <c r="D24" s="86"/>
      <c r="E24" s="86"/>
      <c r="F24" s="86"/>
      <c r="G24" s="86"/>
    </row>
    <row r="26" spans="2:7" ht="25" x14ac:dyDescent="0.35">
      <c r="B26" s="7">
        <v>9</v>
      </c>
      <c r="C26" s="25" t="s">
        <v>260</v>
      </c>
      <c r="D26" s="4" t="s">
        <v>261</v>
      </c>
      <c r="E26" s="9" t="s">
        <v>80</v>
      </c>
      <c r="F26" s="10" t="s">
        <v>76</v>
      </c>
      <c r="G26" s="26" t="s">
        <v>240</v>
      </c>
    </row>
    <row r="27" spans="2:7" ht="25" x14ac:dyDescent="0.35">
      <c r="B27" s="7">
        <v>10</v>
      </c>
      <c r="C27" s="25" t="s">
        <v>262</v>
      </c>
      <c r="D27" s="4" t="s">
        <v>263</v>
      </c>
      <c r="E27" s="9" t="s">
        <v>87</v>
      </c>
      <c r="F27" s="10" t="s">
        <v>76</v>
      </c>
      <c r="G27" s="26" t="s">
        <v>240</v>
      </c>
    </row>
    <row r="28" spans="2:7" ht="25" x14ac:dyDescent="0.35">
      <c r="B28" s="7">
        <v>11</v>
      </c>
      <c r="C28" s="25" t="s">
        <v>264</v>
      </c>
      <c r="D28" s="4" t="s">
        <v>265</v>
      </c>
      <c r="E28" s="9" t="s">
        <v>75</v>
      </c>
      <c r="F28" s="10" t="s">
        <v>76</v>
      </c>
      <c r="G28" s="26" t="s">
        <v>240</v>
      </c>
    </row>
    <row r="29" spans="2:7" ht="25" x14ac:dyDescent="0.35">
      <c r="B29" s="7">
        <v>12</v>
      </c>
      <c r="C29" s="25" t="s">
        <v>266</v>
      </c>
      <c r="D29" s="4" t="s">
        <v>267</v>
      </c>
      <c r="E29" s="9" t="s">
        <v>80</v>
      </c>
      <c r="F29" s="10" t="s">
        <v>76</v>
      </c>
      <c r="G29" s="26" t="s">
        <v>240</v>
      </c>
    </row>
    <row r="30" spans="2:7" ht="25" x14ac:dyDescent="0.35">
      <c r="B30" s="7">
        <v>13</v>
      </c>
      <c r="C30" s="25" t="s">
        <v>268</v>
      </c>
      <c r="D30" s="4" t="s">
        <v>269</v>
      </c>
      <c r="E30" s="9" t="s">
        <v>80</v>
      </c>
      <c r="F30" s="10" t="s">
        <v>76</v>
      </c>
      <c r="G30" s="26" t="s">
        <v>240</v>
      </c>
    </row>
    <row r="31" spans="2:7" ht="25" x14ac:dyDescent="0.35">
      <c r="B31" s="7">
        <v>14</v>
      </c>
      <c r="C31" s="25" t="s">
        <v>270</v>
      </c>
      <c r="D31" s="4" t="s">
        <v>271</v>
      </c>
      <c r="E31" s="9" t="s">
        <v>75</v>
      </c>
      <c r="F31" s="10" t="s">
        <v>76</v>
      </c>
      <c r="G31" s="26" t="s">
        <v>240</v>
      </c>
    </row>
    <row r="33" spans="2:7" x14ac:dyDescent="0.35">
      <c r="B33" s="86" t="s">
        <v>272</v>
      </c>
      <c r="C33" s="86"/>
      <c r="D33" s="86"/>
      <c r="E33" s="86"/>
      <c r="F33" s="86"/>
      <c r="G33" s="86"/>
    </row>
    <row r="35" spans="2:7" ht="25" x14ac:dyDescent="0.35">
      <c r="B35" s="7">
        <v>15</v>
      </c>
      <c r="C35" s="25" t="s">
        <v>273</v>
      </c>
      <c r="D35" s="4" t="s">
        <v>274</v>
      </c>
      <c r="E35" s="9" t="s">
        <v>87</v>
      </c>
      <c r="F35" s="10" t="s">
        <v>76</v>
      </c>
      <c r="G35" s="26" t="s">
        <v>240</v>
      </c>
    </row>
    <row r="36" spans="2:7" ht="25" x14ac:dyDescent="0.35">
      <c r="B36" s="7">
        <v>16</v>
      </c>
      <c r="C36" s="25" t="s">
        <v>275</v>
      </c>
      <c r="D36" s="4" t="s">
        <v>276</v>
      </c>
      <c r="E36" s="9" t="s">
        <v>80</v>
      </c>
      <c r="F36" s="10" t="s">
        <v>76</v>
      </c>
      <c r="G36" s="26" t="s">
        <v>240</v>
      </c>
    </row>
    <row r="37" spans="2:7" ht="25" x14ac:dyDescent="0.35">
      <c r="B37" s="7">
        <v>17</v>
      </c>
      <c r="C37" s="25" t="s">
        <v>277</v>
      </c>
      <c r="D37" s="4" t="s">
        <v>278</v>
      </c>
      <c r="E37" s="9" t="s">
        <v>87</v>
      </c>
      <c r="F37" s="10" t="s">
        <v>76</v>
      </c>
      <c r="G37" s="26" t="s">
        <v>240</v>
      </c>
    </row>
    <row r="38" spans="2:7" x14ac:dyDescent="0.35">
      <c r="B38" s="7">
        <v>18</v>
      </c>
      <c r="C38" s="25" t="s">
        <v>279</v>
      </c>
      <c r="D38" s="4" t="s">
        <v>280</v>
      </c>
      <c r="E38" s="9" t="s">
        <v>80</v>
      </c>
      <c r="F38" s="10" t="s">
        <v>76</v>
      </c>
      <c r="G38" s="26" t="s">
        <v>240</v>
      </c>
    </row>
    <row r="39" spans="2:7" ht="25" x14ac:dyDescent="0.35">
      <c r="B39" s="7">
        <v>19</v>
      </c>
      <c r="C39" s="25" t="s">
        <v>281</v>
      </c>
      <c r="D39" s="4" t="s">
        <v>282</v>
      </c>
      <c r="E39" s="9" t="s">
        <v>80</v>
      </c>
      <c r="F39" s="10" t="s">
        <v>76</v>
      </c>
      <c r="G39" s="26" t="s">
        <v>240</v>
      </c>
    </row>
    <row r="40" spans="2:7" ht="25" x14ac:dyDescent="0.35">
      <c r="B40" s="7">
        <v>20</v>
      </c>
      <c r="C40" s="25" t="s">
        <v>283</v>
      </c>
      <c r="D40" s="4" t="s">
        <v>284</v>
      </c>
      <c r="E40" s="9" t="s">
        <v>87</v>
      </c>
      <c r="F40" s="10" t="s">
        <v>76</v>
      </c>
      <c r="G40" s="26" t="s">
        <v>240</v>
      </c>
    </row>
    <row r="42" spans="2:7" x14ac:dyDescent="0.35">
      <c r="B42" s="86" t="s">
        <v>285</v>
      </c>
      <c r="C42" s="86"/>
      <c r="D42" s="86"/>
      <c r="E42" s="86"/>
      <c r="F42" s="86"/>
      <c r="G42" s="86"/>
    </row>
    <row r="44" spans="2:7" ht="25" x14ac:dyDescent="0.35">
      <c r="B44" s="7">
        <v>21</v>
      </c>
      <c r="C44" s="25" t="s">
        <v>286</v>
      </c>
      <c r="D44" s="4" t="s">
        <v>287</v>
      </c>
      <c r="E44" s="9" t="s">
        <v>80</v>
      </c>
      <c r="F44" s="10" t="s">
        <v>76</v>
      </c>
      <c r="G44" s="26" t="s">
        <v>240</v>
      </c>
    </row>
    <row r="45" spans="2:7" ht="25" x14ac:dyDescent="0.35">
      <c r="B45" s="7">
        <v>22</v>
      </c>
      <c r="C45" s="25" t="s">
        <v>288</v>
      </c>
      <c r="D45" s="4" t="s">
        <v>289</v>
      </c>
      <c r="E45" s="9" t="s">
        <v>80</v>
      </c>
      <c r="F45" s="10" t="s">
        <v>76</v>
      </c>
      <c r="G45" s="26" t="s">
        <v>240</v>
      </c>
    </row>
    <row r="46" spans="2:7" ht="25" x14ac:dyDescent="0.35">
      <c r="B46" s="7">
        <v>23</v>
      </c>
      <c r="C46" s="25" t="s">
        <v>290</v>
      </c>
      <c r="D46" s="4" t="s">
        <v>291</v>
      </c>
      <c r="E46" s="9" t="s">
        <v>80</v>
      </c>
      <c r="F46" s="10" t="s">
        <v>76</v>
      </c>
      <c r="G46" s="26" t="s">
        <v>253</v>
      </c>
    </row>
    <row r="47" spans="2:7" ht="25" x14ac:dyDescent="0.35">
      <c r="B47" s="7">
        <v>24</v>
      </c>
      <c r="C47" s="25" t="s">
        <v>292</v>
      </c>
      <c r="D47" s="4" t="s">
        <v>293</v>
      </c>
      <c r="E47" s="9" t="s">
        <v>80</v>
      </c>
      <c r="F47" s="10" t="s">
        <v>76</v>
      </c>
      <c r="G47" s="26" t="s">
        <v>240</v>
      </c>
    </row>
    <row r="49" spans="2:8" x14ac:dyDescent="0.35">
      <c r="B49" s="86" t="s">
        <v>294</v>
      </c>
      <c r="C49" s="86"/>
      <c r="D49" s="86"/>
      <c r="E49" s="86"/>
      <c r="F49" s="86"/>
      <c r="G49" s="86"/>
    </row>
    <row r="51" spans="2:8" ht="25" x14ac:dyDescent="0.35">
      <c r="B51" s="7">
        <v>25</v>
      </c>
      <c r="C51" s="25" t="s">
        <v>295</v>
      </c>
      <c r="D51" s="4" t="s">
        <v>296</v>
      </c>
      <c r="E51" s="9" t="s">
        <v>80</v>
      </c>
      <c r="F51" s="10" t="s">
        <v>76</v>
      </c>
      <c r="G51" s="26" t="s">
        <v>253</v>
      </c>
    </row>
    <row r="52" spans="2:8" ht="25" x14ac:dyDescent="0.35">
      <c r="B52" s="7">
        <v>26</v>
      </c>
      <c r="C52" s="25" t="s">
        <v>297</v>
      </c>
      <c r="D52" s="4" t="s">
        <v>298</v>
      </c>
      <c r="E52" s="9" t="s">
        <v>75</v>
      </c>
      <c r="F52" s="10" t="s">
        <v>76</v>
      </c>
      <c r="G52" s="26" t="s">
        <v>240</v>
      </c>
    </row>
    <row r="53" spans="2:8" ht="25" x14ac:dyDescent="0.35">
      <c r="B53" s="7">
        <v>27</v>
      </c>
      <c r="C53" s="25" t="s">
        <v>299</v>
      </c>
      <c r="D53" s="4" t="s">
        <v>300</v>
      </c>
      <c r="E53" s="9" t="s">
        <v>75</v>
      </c>
      <c r="F53" s="10" t="s">
        <v>76</v>
      </c>
      <c r="G53" s="26" t="s">
        <v>240</v>
      </c>
    </row>
    <row r="54" spans="2:8" ht="25" x14ac:dyDescent="0.35">
      <c r="B54" s="7">
        <v>28</v>
      </c>
      <c r="C54" s="25" t="s">
        <v>301</v>
      </c>
      <c r="D54" s="4" t="s">
        <v>302</v>
      </c>
      <c r="E54" s="9" t="s">
        <v>87</v>
      </c>
      <c r="F54" s="10" t="s">
        <v>76</v>
      </c>
      <c r="G54" s="26" t="s">
        <v>240</v>
      </c>
    </row>
    <row r="56" spans="2:8" x14ac:dyDescent="0.35">
      <c r="E56" s="12" t="s">
        <v>163</v>
      </c>
      <c r="F56" s="12" t="s">
        <v>164</v>
      </c>
      <c r="G56" s="12" t="s">
        <v>165</v>
      </c>
      <c r="H56" s="12" t="s">
        <v>166</v>
      </c>
    </row>
    <row r="57" spans="2:8" x14ac:dyDescent="0.35">
      <c r="B57" s="79" t="s">
        <v>303</v>
      </c>
      <c r="C57" s="79"/>
      <c r="D57" s="79"/>
      <c r="E57" s="14">
        <f>COUNTIF(E9:E54,"Sí")</f>
        <v>18</v>
      </c>
      <c r="F57" s="27">
        <f>COUNTIF(E9:E54,"Parcial")</f>
        <v>4</v>
      </c>
      <c r="G57" s="27">
        <f>COUNTIF(E9:E54,"No")</f>
        <v>6</v>
      </c>
      <c r="H57" s="17">
        <f>IFERROR((COUNTIF(E9:E54,"Sí")*2+COUNTIF(E9:E54,"Parcial")*1)/(28*2),0)</f>
        <v>0.7142857142857143</v>
      </c>
    </row>
  </sheetData>
  <sheetProtection sheet="1"/>
  <mergeCells count="9">
    <mergeCell ref="B33:G33"/>
    <mergeCell ref="B42:G42"/>
    <mergeCell ref="B49:G49"/>
    <mergeCell ref="B57:D57"/>
    <mergeCell ref="B2:G2"/>
    <mergeCell ref="B3:G3"/>
    <mergeCell ref="B7:G7"/>
    <mergeCell ref="B17:G17"/>
    <mergeCell ref="B24:G24"/>
  </mergeCells>
  <conditionalFormatting sqref="E9:E54">
    <cfRule type="cellIs" dxfId="2" priority="1" operator="equal">
      <formula>"Sí"</formula>
    </cfRule>
    <cfRule type="cellIs" dxfId="1" priority="2" operator="equal">
      <formula>"Parcial"</formula>
    </cfRule>
    <cfRule type="cellIs" dxfId="0" priority="3" operator="equal">
      <formula>"No"</formula>
    </cfRule>
  </conditionalFormatting>
  <dataValidations count="2">
    <dataValidation type="list" allowBlank="1" sqref="E11 E9 E51:E54 E44:E47 E35:E40 E26:E31 E19:E22 E15 E13" xr:uid="{00000000-0002-0000-0400-000000000000}">
      <formula1>"Sí,Parcial,No"</formula1>
    </dataValidation>
    <dataValidation type="list" allowBlank="1" sqref="G11 G9 G51:G54 G44:G47 G35:G40 G26:G31 G19:G22 G15 G13" xr:uid="{00000000-0002-0000-0400-000009000000}">
      <formula1>"Alta,Media,Baja"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31"/>
  <sheetViews>
    <sheetView topLeftCell="A15" workbookViewId="0">
      <selection activeCell="E18" sqref="E18"/>
    </sheetView>
  </sheetViews>
  <sheetFormatPr baseColWidth="10" defaultColWidth="8.7265625" defaultRowHeight="14.5" x14ac:dyDescent="0.35"/>
  <cols>
    <col min="1" max="1" width="3" customWidth="1"/>
    <col min="2" max="2" width="42" customWidth="1"/>
    <col min="3" max="3" width="20" customWidth="1"/>
    <col min="4" max="4" width="44" customWidth="1"/>
    <col min="5" max="5" width="20" customWidth="1"/>
  </cols>
  <sheetData>
    <row r="2" spans="2:6" ht="20" x14ac:dyDescent="0.35">
      <c r="B2" s="87" t="s">
        <v>304</v>
      </c>
      <c r="C2" s="87"/>
      <c r="D2" s="87"/>
      <c r="E2" s="87"/>
      <c r="F2" s="87"/>
    </row>
    <row r="3" spans="2:6" x14ac:dyDescent="0.35">
      <c r="B3" s="88" t="s">
        <v>340</v>
      </c>
      <c r="C3" s="88"/>
      <c r="D3" s="88"/>
      <c r="E3" s="88"/>
      <c r="F3" s="88"/>
    </row>
    <row r="6" spans="2:6" x14ac:dyDescent="0.35">
      <c r="B6" s="79" t="s">
        <v>305</v>
      </c>
      <c r="C6" s="79"/>
      <c r="D6" s="79"/>
      <c r="E6" s="79"/>
      <c r="F6" s="79"/>
    </row>
    <row r="7" spans="2:6" x14ac:dyDescent="0.35">
      <c r="B7" s="3" t="s">
        <v>306</v>
      </c>
      <c r="C7" s="3" t="s">
        <v>307</v>
      </c>
      <c r="D7" s="3" t="s">
        <v>80</v>
      </c>
      <c r="E7" s="3" t="s">
        <v>75</v>
      </c>
      <c r="F7" s="3" t="s">
        <v>87</v>
      </c>
    </row>
    <row r="8" spans="2:6" x14ac:dyDescent="0.35">
      <c r="B8" s="2" t="s">
        <v>308</v>
      </c>
      <c r="C8" s="28">
        <f>M1_Cumplimiento_LOPDP!H55</f>
        <v>0.44827586206896552</v>
      </c>
      <c r="D8" s="29">
        <f>M1_Cumplimiento_LOPDP!E55</f>
        <v>9</v>
      </c>
      <c r="E8" s="29">
        <f>M1_Cumplimiento_LOPDP!F55</f>
        <v>8</v>
      </c>
      <c r="F8" s="29">
        <f>M1_Cumplimiento_LOPDP!G55</f>
        <v>12</v>
      </c>
    </row>
    <row r="9" spans="2:6" x14ac:dyDescent="0.35">
      <c r="B9" s="30" t="s">
        <v>309</v>
      </c>
      <c r="C9" s="31">
        <f>M3_Gobernanza_Tecnologica!H57</f>
        <v>0.7142857142857143</v>
      </c>
      <c r="D9" s="32">
        <f>M3_Gobernanza_Tecnologica!E57</f>
        <v>18</v>
      </c>
      <c r="E9" s="32">
        <f>M3_Gobernanza_Tecnologica!F57</f>
        <v>4</v>
      </c>
      <c r="F9" s="32">
        <f>M3_Gobernanza_Tecnologica!G57</f>
        <v>6</v>
      </c>
    </row>
    <row r="10" spans="2:6" x14ac:dyDescent="0.35">
      <c r="B10" s="30" t="s">
        <v>310</v>
      </c>
      <c r="C10" s="31">
        <f>M2_Madurez_Institucional!H51</f>
        <v>0.48799999999999999</v>
      </c>
      <c r="D10" s="33" t="str">
        <f>"Nivel Prom.: "&amp;TEXT(M2_Madurez_Institucional!E51,"0.0")&amp;" / 5"</f>
        <v>Nivel Prom.: 2.4 / 5</v>
      </c>
    </row>
    <row r="13" spans="2:6" x14ac:dyDescent="0.35">
      <c r="B13" s="83" t="s">
        <v>311</v>
      </c>
      <c r="C13" s="83"/>
      <c r="D13" s="83"/>
      <c r="E13" s="83"/>
      <c r="F13" s="83"/>
    </row>
    <row r="14" spans="2:6" x14ac:dyDescent="0.35">
      <c r="B14" s="15" t="s">
        <v>312</v>
      </c>
      <c r="C14" s="15" t="s">
        <v>313</v>
      </c>
      <c r="D14" s="15" t="s">
        <v>314</v>
      </c>
    </row>
    <row r="15" spans="2:6" x14ac:dyDescent="0.35">
      <c r="B15" s="2" t="s">
        <v>315</v>
      </c>
      <c r="C15" s="34">
        <f>M2_Madurez_Institucional!E51</f>
        <v>2.44</v>
      </c>
      <c r="D15" s="35" t="s">
        <v>316</v>
      </c>
    </row>
    <row r="16" spans="2:6" x14ac:dyDescent="0.35">
      <c r="B16" s="30" t="s">
        <v>317</v>
      </c>
      <c r="C16" s="12">
        <f>M2_Madurez_Institucional!F51</f>
        <v>1</v>
      </c>
      <c r="D16" s="36" t="s">
        <v>318</v>
      </c>
    </row>
    <row r="17" spans="2:6" x14ac:dyDescent="0.35">
      <c r="B17" s="2" t="s">
        <v>319</v>
      </c>
      <c r="C17" s="37">
        <f>M2_Madurez_Institucional!G51</f>
        <v>5</v>
      </c>
      <c r="D17" s="35" t="s">
        <v>320</v>
      </c>
    </row>
    <row r="18" spans="2:6" x14ac:dyDescent="0.35">
      <c r="B18" s="30" t="s">
        <v>321</v>
      </c>
      <c r="C18" s="38">
        <f>M2_Madurez_Institucional!H51</f>
        <v>0.48799999999999999</v>
      </c>
      <c r="D18" s="36" t="s">
        <v>322</v>
      </c>
    </row>
    <row r="21" spans="2:6" x14ac:dyDescent="0.35">
      <c r="B21" s="89" t="s">
        <v>323</v>
      </c>
      <c r="C21" s="89"/>
      <c r="D21" s="89"/>
      <c r="E21" s="89"/>
      <c r="F21" s="89"/>
    </row>
    <row r="22" spans="2:6" x14ac:dyDescent="0.35">
      <c r="B22" s="27" t="s">
        <v>312</v>
      </c>
      <c r="C22" s="27" t="s">
        <v>313</v>
      </c>
      <c r="D22" s="27" t="s">
        <v>314</v>
      </c>
    </row>
    <row r="23" spans="2:6" x14ac:dyDescent="0.35">
      <c r="B23" s="2" t="s">
        <v>324</v>
      </c>
      <c r="C23" s="39">
        <f>M3_Gobernanza_Tecnologica!H57</f>
        <v>0.7142857142857143</v>
      </c>
      <c r="D23" s="35" t="s">
        <v>325</v>
      </c>
    </row>
    <row r="24" spans="2:6" x14ac:dyDescent="0.35">
      <c r="B24" s="30" t="s">
        <v>326</v>
      </c>
      <c r="C24" s="12">
        <f>M3_Gobernanza_Tecnologica!E57</f>
        <v>18</v>
      </c>
      <c r="D24" s="36" t="s">
        <v>327</v>
      </c>
    </row>
    <row r="25" spans="2:6" x14ac:dyDescent="0.35">
      <c r="B25" s="2" t="s">
        <v>328</v>
      </c>
      <c r="C25" s="37">
        <f>M3_Gobernanza_Tecnologica!F57</f>
        <v>4</v>
      </c>
      <c r="D25" s="35" t="s">
        <v>329</v>
      </c>
    </row>
    <row r="26" spans="2:6" x14ac:dyDescent="0.35">
      <c r="B26" s="30" t="s">
        <v>330</v>
      </c>
      <c r="C26" s="12">
        <f>M3_Gobernanza_Tecnologica!G57</f>
        <v>6</v>
      </c>
      <c r="D26" s="36" t="s">
        <v>331</v>
      </c>
    </row>
    <row r="29" spans="2:6" x14ac:dyDescent="0.35">
      <c r="B29" s="79" t="s">
        <v>332</v>
      </c>
      <c r="C29" s="79"/>
      <c r="D29" s="79"/>
      <c r="E29" s="79"/>
      <c r="F29" s="79"/>
    </row>
    <row r="30" spans="2:6" x14ac:dyDescent="0.35">
      <c r="B30" s="13" t="s">
        <v>312</v>
      </c>
      <c r="C30" s="13" t="s">
        <v>333</v>
      </c>
      <c r="D30" s="13" t="s">
        <v>334</v>
      </c>
    </row>
    <row r="31" spans="2:6" ht="20" x14ac:dyDescent="0.35">
      <c r="B31" s="40" t="s">
        <v>335</v>
      </c>
      <c r="C31" s="41">
        <f>IFERROR(AVERAGE(C8,C9,C18),0)</f>
        <v>0.55018719211822653</v>
      </c>
      <c r="D31" s="42" t="s">
        <v>336</v>
      </c>
    </row>
  </sheetData>
  <sheetProtection sheet="1"/>
  <mergeCells count="6">
    <mergeCell ref="B29:F29"/>
    <mergeCell ref="B2:F2"/>
    <mergeCell ref="B3:F3"/>
    <mergeCell ref="B6:F6"/>
    <mergeCell ref="B13:F13"/>
    <mergeCell ref="B21:F21"/>
  </mergeCells>
  <conditionalFormatting sqref="C8">
    <cfRule type="colorScale" priority="1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9">
    <cfRule type="colorScale" priority="2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10">
    <cfRule type="colorScale" priority="3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18">
    <cfRule type="colorScale" priority="4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23">
    <cfRule type="colorScale" priority="5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C31">
    <cfRule type="colorScale" priority="6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CONSENTIMIENTO_DIGITAL</vt:lpstr>
      <vt:lpstr>M1_Cumplimiento_LOPDP</vt:lpstr>
      <vt:lpstr>M2_Madurez_Institucional</vt:lpstr>
      <vt:lpstr>M3_Gobernanza_Tecnologica</vt:lpstr>
      <vt:lpstr>TABLERO_RESULTADOS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2026-08-14T14:27:07Z</dcterms:created>
  <dcterms:modified xsi:type="dcterms:W3CDTF">2026-08-29T03:14:53Z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2026-08-29T03:13:14Z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7309e703-47fb-4338-bf01-13ae2690410b</vt:lpwstr>
  </property>
  <property fmtid="{D5CDD505-2E9C-101B-9397-08002B2CF9AE}" pid="7" name="MSIP_Label_defa4170-0d19-0005-0004-bc88714345d2_ActionId">
    <vt:lpwstr>5cee6b7b-4103-4779-814b-aef608d893d4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