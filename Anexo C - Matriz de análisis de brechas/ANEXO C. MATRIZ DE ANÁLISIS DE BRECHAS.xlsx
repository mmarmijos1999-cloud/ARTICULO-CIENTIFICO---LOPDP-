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eeneticsec-my.sharepoint.com/personal/marmijos_greenetics_com_ec/Documents/Documentos/1. MARY/2. MAESTRIA/SEGUNDO SEMESTRE/7. TITULACIÓN/5. ANEXOS/ANEXO D/"/>
    </mc:Choice>
  </mc:AlternateContent>
  <xr:revisionPtr revIDLastSave="0" documentId="8_{14134732-6858-41DE-B357-619551C5857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ORTADA" sheetId="10" r:id="rId1"/>
    <sheet name="RESUMEN ANEXO" sheetId="1" r:id="rId2"/>
    <sheet name="Matriz Consolidada" sheetId="2" r:id="rId3"/>
    <sheet name="Resumen Ejecutivo" sheetId="3" r:id="rId4"/>
    <sheet name="Hoja de Ruta_100pct" sheetId="4" r:id="rId5"/>
    <sheet name="Mapa ISO27001" sheetId="5" r:id="rId6"/>
    <sheet name="Plan_Institucion_A" sheetId="6" r:id="rId7"/>
    <sheet name="Plan_Institucion_B" sheetId="7" r:id="rId8"/>
    <sheet name="Plan_Institucion_C" sheetId="8" r:id="rId9"/>
    <sheet name="Plan_Institucion_D" sheetId="9" r:id="rId10"/>
  </sheets>
  <definedNames>
    <definedName name="_xlnm._FilterDatabase" localSheetId="5" hidden="1">'Mapa ISO27001'!$B$4:$G$55</definedName>
    <definedName name="_xlnm._FilterDatabase" localSheetId="2" hidden="1">'Matriz Consolidada'!$B$3:$X$85</definedName>
    <definedName name="_xlnm._FilterDatabase" localSheetId="6" hidden="1">Plan_Institucion_A!$B$4:$J$53</definedName>
    <definedName name="_xlnm._FilterDatabase" localSheetId="7" hidden="1">Plan_Institucion_B!$B$4:$J$72</definedName>
    <definedName name="_xlnm._FilterDatabase" localSheetId="8" hidden="1">Plan_Institucion_C!$B$4:$J$81</definedName>
    <definedName name="_xlnm._FilterDatabase" localSheetId="9" hidden="1">Plan_Institucion_D!$B$4:$J$84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5" i="5" l="1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H24" i="3"/>
  <c r="H23" i="3"/>
  <c r="H22" i="3"/>
  <c r="H21" i="3"/>
  <c r="G16" i="3"/>
  <c r="G15" i="3"/>
  <c r="G14" i="3"/>
  <c r="O85" i="2"/>
  <c r="N85" i="2"/>
  <c r="M85" i="2"/>
  <c r="L85" i="2"/>
  <c r="O84" i="2"/>
  <c r="N84" i="2"/>
  <c r="M84" i="2"/>
  <c r="L84" i="2"/>
  <c r="O83" i="2"/>
  <c r="G55" i="5" s="1"/>
  <c r="N83" i="2"/>
  <c r="F55" i="5" s="1"/>
  <c r="M83" i="2"/>
  <c r="E55" i="5" s="1"/>
  <c r="L83" i="2"/>
  <c r="O82" i="2"/>
  <c r="G54" i="5" s="1"/>
  <c r="N82" i="2"/>
  <c r="F54" i="5" s="1"/>
  <c r="M82" i="2"/>
  <c r="E54" i="5" s="1"/>
  <c r="L82" i="2"/>
  <c r="O81" i="2"/>
  <c r="G53" i="5" s="1"/>
  <c r="N81" i="2"/>
  <c r="F53" i="5" s="1"/>
  <c r="M81" i="2"/>
  <c r="E53" i="5" s="1"/>
  <c r="L81" i="2"/>
  <c r="O80" i="2"/>
  <c r="N80" i="2"/>
  <c r="M80" i="2"/>
  <c r="L80" i="2"/>
  <c r="O79" i="2"/>
  <c r="N79" i="2"/>
  <c r="M79" i="2"/>
  <c r="L79" i="2"/>
  <c r="O78" i="2"/>
  <c r="N78" i="2"/>
  <c r="M78" i="2"/>
  <c r="L78" i="2"/>
  <c r="O77" i="2"/>
  <c r="G52" i="5" s="1"/>
  <c r="N77" i="2"/>
  <c r="F52" i="5" s="1"/>
  <c r="M77" i="2"/>
  <c r="E52" i="5" s="1"/>
  <c r="L77" i="2"/>
  <c r="D52" i="5" s="1"/>
  <c r="O76" i="2"/>
  <c r="G51" i="5" s="1"/>
  <c r="N76" i="2"/>
  <c r="F51" i="5" s="1"/>
  <c r="M76" i="2"/>
  <c r="E51" i="5" s="1"/>
  <c r="L76" i="2"/>
  <c r="D51" i="5" s="1"/>
  <c r="O75" i="2"/>
  <c r="G50" i="5" s="1"/>
  <c r="N75" i="2"/>
  <c r="F50" i="5" s="1"/>
  <c r="M75" i="2"/>
  <c r="E50" i="5" s="1"/>
  <c r="L75" i="2"/>
  <c r="D50" i="5" s="1"/>
  <c r="O74" i="2"/>
  <c r="G49" i="5" s="1"/>
  <c r="N74" i="2"/>
  <c r="F49" i="5" s="1"/>
  <c r="M74" i="2"/>
  <c r="E49" i="5" s="1"/>
  <c r="L74" i="2"/>
  <c r="D49" i="5" s="1"/>
  <c r="O73" i="2"/>
  <c r="G48" i="5" s="1"/>
  <c r="N73" i="2"/>
  <c r="F48" i="5" s="1"/>
  <c r="M73" i="2"/>
  <c r="E48" i="5" s="1"/>
  <c r="L73" i="2"/>
  <c r="D48" i="5" s="1"/>
  <c r="O72" i="2"/>
  <c r="N72" i="2"/>
  <c r="M72" i="2"/>
  <c r="L72" i="2"/>
  <c r="O71" i="2"/>
  <c r="G47" i="5" s="1"/>
  <c r="N71" i="2"/>
  <c r="F47" i="5" s="1"/>
  <c r="M71" i="2"/>
  <c r="E47" i="5" s="1"/>
  <c r="L71" i="2"/>
  <c r="D47" i="5" s="1"/>
  <c r="O70" i="2"/>
  <c r="G46" i="5" s="1"/>
  <c r="N70" i="2"/>
  <c r="F46" i="5" s="1"/>
  <c r="M70" i="2"/>
  <c r="E46" i="5" s="1"/>
  <c r="L70" i="2"/>
  <c r="D46" i="5" s="1"/>
  <c r="O69" i="2"/>
  <c r="G45" i="5" s="1"/>
  <c r="N69" i="2"/>
  <c r="F45" i="5" s="1"/>
  <c r="M69" i="2"/>
  <c r="E45" i="5" s="1"/>
  <c r="L69" i="2"/>
  <c r="D45" i="5" s="1"/>
  <c r="O68" i="2"/>
  <c r="G44" i="5" s="1"/>
  <c r="N68" i="2"/>
  <c r="F44" i="5" s="1"/>
  <c r="M68" i="2"/>
  <c r="E44" i="5" s="1"/>
  <c r="L68" i="2"/>
  <c r="D44" i="5" s="1"/>
  <c r="O67" i="2"/>
  <c r="G43" i="5" s="1"/>
  <c r="N67" i="2"/>
  <c r="F43" i="5" s="1"/>
  <c r="M67" i="2"/>
  <c r="E43" i="5" s="1"/>
  <c r="L67" i="2"/>
  <c r="D43" i="5" s="1"/>
  <c r="O66" i="2"/>
  <c r="G42" i="5" s="1"/>
  <c r="N66" i="2"/>
  <c r="F42" i="5" s="1"/>
  <c r="M66" i="2"/>
  <c r="E42" i="5" s="1"/>
  <c r="L66" i="2"/>
  <c r="D42" i="5" s="1"/>
  <c r="O65" i="2"/>
  <c r="G41" i="5" s="1"/>
  <c r="N65" i="2"/>
  <c r="F41" i="5" s="1"/>
  <c r="M65" i="2"/>
  <c r="E41" i="5" s="1"/>
  <c r="L65" i="2"/>
  <c r="D41" i="5" s="1"/>
  <c r="O64" i="2"/>
  <c r="N64" i="2"/>
  <c r="M64" i="2"/>
  <c r="L64" i="2"/>
  <c r="O63" i="2"/>
  <c r="G40" i="5" s="1"/>
  <c r="N63" i="2"/>
  <c r="F40" i="5" s="1"/>
  <c r="M63" i="2"/>
  <c r="E40" i="5" s="1"/>
  <c r="L63" i="2"/>
  <c r="D40" i="5" s="1"/>
  <c r="O62" i="2"/>
  <c r="N62" i="2"/>
  <c r="M62" i="2"/>
  <c r="L62" i="2"/>
  <c r="O61" i="2"/>
  <c r="G39" i="5" s="1"/>
  <c r="N61" i="2"/>
  <c r="F39" i="5" s="1"/>
  <c r="M61" i="2"/>
  <c r="E39" i="5" s="1"/>
  <c r="L61" i="2"/>
  <c r="D39" i="5" s="1"/>
  <c r="O60" i="2"/>
  <c r="N60" i="2"/>
  <c r="M60" i="2"/>
  <c r="L60" i="2"/>
  <c r="O59" i="2"/>
  <c r="N59" i="2"/>
  <c r="M59" i="2"/>
  <c r="L59" i="2"/>
  <c r="O58" i="2"/>
  <c r="G38" i="5" s="1"/>
  <c r="N58" i="2"/>
  <c r="F38" i="5" s="1"/>
  <c r="M58" i="2"/>
  <c r="E38" i="5" s="1"/>
  <c r="L58" i="2"/>
  <c r="D38" i="5" s="1"/>
  <c r="O57" i="2"/>
  <c r="N57" i="2"/>
  <c r="M57" i="2"/>
  <c r="L57" i="2"/>
  <c r="O56" i="2"/>
  <c r="N56" i="2"/>
  <c r="M56" i="2"/>
  <c r="L56" i="2"/>
  <c r="O55" i="2"/>
  <c r="G37" i="5" s="1"/>
  <c r="N55" i="2"/>
  <c r="F37" i="5" s="1"/>
  <c r="M55" i="2"/>
  <c r="E37" i="5" s="1"/>
  <c r="L55" i="2"/>
  <c r="D37" i="5" s="1"/>
  <c r="O54" i="2"/>
  <c r="N54" i="2"/>
  <c r="M54" i="2"/>
  <c r="L54" i="2"/>
  <c r="O53" i="2"/>
  <c r="G36" i="5" s="1"/>
  <c r="N53" i="2"/>
  <c r="F36" i="5" s="1"/>
  <c r="M53" i="2"/>
  <c r="E36" i="5" s="1"/>
  <c r="L53" i="2"/>
  <c r="D36" i="5" s="1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G35" i="5" s="1"/>
  <c r="N49" i="2"/>
  <c r="F35" i="5" s="1"/>
  <c r="M49" i="2"/>
  <c r="E35" i="5" s="1"/>
  <c r="L49" i="2"/>
  <c r="O48" i="2"/>
  <c r="N48" i="2"/>
  <c r="M48" i="2"/>
  <c r="L48" i="2"/>
  <c r="O47" i="2"/>
  <c r="G34" i="5" s="1"/>
  <c r="N47" i="2"/>
  <c r="F34" i="5" s="1"/>
  <c r="M47" i="2"/>
  <c r="E34" i="5" s="1"/>
  <c r="L47" i="2"/>
  <c r="D34" i="5" s="1"/>
  <c r="O46" i="2"/>
  <c r="N46" i="2"/>
  <c r="M46" i="2"/>
  <c r="L46" i="2"/>
  <c r="O45" i="2"/>
  <c r="G33" i="5" s="1"/>
  <c r="N45" i="2"/>
  <c r="F33" i="5" s="1"/>
  <c r="M45" i="2"/>
  <c r="E33" i="5" s="1"/>
  <c r="L45" i="2"/>
  <c r="D33" i="5" s="1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G31" i="5" s="1"/>
  <c r="N41" i="2"/>
  <c r="F31" i="5" s="1"/>
  <c r="M41" i="2"/>
  <c r="E31" i="5" s="1"/>
  <c r="L41" i="2"/>
  <c r="O40" i="2"/>
  <c r="G30" i="5" s="1"/>
  <c r="N40" i="2"/>
  <c r="F30" i="5" s="1"/>
  <c r="M40" i="2"/>
  <c r="E30" i="5" s="1"/>
  <c r="L40" i="2"/>
  <c r="O39" i="2"/>
  <c r="N39" i="2"/>
  <c r="M39" i="2"/>
  <c r="L39" i="2"/>
  <c r="O38" i="2"/>
  <c r="N38" i="2"/>
  <c r="M38" i="2"/>
  <c r="L38" i="2"/>
  <c r="O37" i="2"/>
  <c r="G29" i="5" s="1"/>
  <c r="N37" i="2"/>
  <c r="F29" i="5" s="1"/>
  <c r="M37" i="2"/>
  <c r="E29" i="5" s="1"/>
  <c r="L37" i="2"/>
  <c r="D29" i="5" s="1"/>
  <c r="O36" i="2"/>
  <c r="G28" i="5" s="1"/>
  <c r="N36" i="2"/>
  <c r="F28" i="5" s="1"/>
  <c r="M36" i="2"/>
  <c r="E28" i="5" s="1"/>
  <c r="L36" i="2"/>
  <c r="D28" i="5" s="1"/>
  <c r="O35" i="2"/>
  <c r="N35" i="2"/>
  <c r="M35" i="2"/>
  <c r="L35" i="2"/>
  <c r="O34" i="2"/>
  <c r="G27" i="5" s="1"/>
  <c r="N34" i="2"/>
  <c r="F27" i="5" s="1"/>
  <c r="M34" i="2"/>
  <c r="E27" i="5" s="1"/>
  <c r="L34" i="2"/>
  <c r="O33" i="2"/>
  <c r="N33" i="2"/>
  <c r="M33" i="2"/>
  <c r="L33" i="2"/>
  <c r="O32" i="2"/>
  <c r="G26" i="5" s="1"/>
  <c r="N32" i="2"/>
  <c r="F26" i="5" s="1"/>
  <c r="M32" i="2"/>
  <c r="E26" i="5" s="1"/>
  <c r="L32" i="2"/>
  <c r="D26" i="5" s="1"/>
  <c r="O31" i="2"/>
  <c r="G25" i="5" s="1"/>
  <c r="N31" i="2"/>
  <c r="F25" i="5" s="1"/>
  <c r="M31" i="2"/>
  <c r="E25" i="5" s="1"/>
  <c r="L31" i="2"/>
  <c r="D25" i="5" s="1"/>
  <c r="O30" i="2"/>
  <c r="N30" i="2"/>
  <c r="M30" i="2"/>
  <c r="L30" i="2"/>
  <c r="O29" i="2"/>
  <c r="G23" i="5" s="1"/>
  <c r="N29" i="2"/>
  <c r="F23" i="5" s="1"/>
  <c r="M29" i="2"/>
  <c r="E23" i="5" s="1"/>
  <c r="L29" i="2"/>
  <c r="D23" i="5" s="1"/>
  <c r="O28" i="2"/>
  <c r="G22" i="5" s="1"/>
  <c r="N28" i="2"/>
  <c r="F22" i="5" s="1"/>
  <c r="M28" i="2"/>
  <c r="E22" i="5" s="1"/>
  <c r="L28" i="2"/>
  <c r="D22" i="5" s="1"/>
  <c r="O27" i="2"/>
  <c r="G21" i="5" s="1"/>
  <c r="N27" i="2"/>
  <c r="F21" i="5" s="1"/>
  <c r="M27" i="2"/>
  <c r="E21" i="5" s="1"/>
  <c r="L27" i="2"/>
  <c r="D21" i="5" s="1"/>
  <c r="O26" i="2"/>
  <c r="G20" i="5" s="1"/>
  <c r="N26" i="2"/>
  <c r="F20" i="5" s="1"/>
  <c r="M26" i="2"/>
  <c r="E20" i="5" s="1"/>
  <c r="L26" i="2"/>
  <c r="O25" i="2"/>
  <c r="G19" i="5" s="1"/>
  <c r="N25" i="2"/>
  <c r="F19" i="5" s="1"/>
  <c r="M25" i="2"/>
  <c r="E19" i="5" s="1"/>
  <c r="L25" i="2"/>
  <c r="D19" i="5" s="1"/>
  <c r="O24" i="2"/>
  <c r="G18" i="5" s="1"/>
  <c r="N24" i="2"/>
  <c r="F18" i="5" s="1"/>
  <c r="M24" i="2"/>
  <c r="E18" i="5" s="1"/>
  <c r="L24" i="2"/>
  <c r="D18" i="5" s="1"/>
  <c r="O23" i="2"/>
  <c r="G17" i="5" s="1"/>
  <c r="N23" i="2"/>
  <c r="F17" i="5" s="1"/>
  <c r="M23" i="2"/>
  <c r="E17" i="5" s="1"/>
  <c r="L23" i="2"/>
  <c r="D17" i="5" s="1"/>
  <c r="O22" i="2"/>
  <c r="G16" i="5" s="1"/>
  <c r="N22" i="2"/>
  <c r="F16" i="5" s="1"/>
  <c r="M22" i="2"/>
  <c r="E16" i="5" s="1"/>
  <c r="L22" i="2"/>
  <c r="D16" i="5" s="1"/>
  <c r="O21" i="2"/>
  <c r="G15" i="5" s="1"/>
  <c r="N21" i="2"/>
  <c r="F15" i="5" s="1"/>
  <c r="M21" i="2"/>
  <c r="E15" i="5" s="1"/>
  <c r="L21" i="2"/>
  <c r="D15" i="5" s="1"/>
  <c r="O20" i="2"/>
  <c r="G14" i="5" s="1"/>
  <c r="N20" i="2"/>
  <c r="F14" i="5" s="1"/>
  <c r="M20" i="2"/>
  <c r="E14" i="5" s="1"/>
  <c r="L20" i="2"/>
  <c r="D14" i="5" s="1"/>
  <c r="O19" i="2"/>
  <c r="G13" i="5" s="1"/>
  <c r="N19" i="2"/>
  <c r="F13" i="5" s="1"/>
  <c r="M19" i="2"/>
  <c r="E13" i="5" s="1"/>
  <c r="L19" i="2"/>
  <c r="D13" i="5" s="1"/>
  <c r="O18" i="2"/>
  <c r="G12" i="5" s="1"/>
  <c r="N18" i="2"/>
  <c r="F12" i="5" s="1"/>
  <c r="M18" i="2"/>
  <c r="E12" i="5" s="1"/>
  <c r="L18" i="2"/>
  <c r="D12" i="5" s="1"/>
  <c r="O17" i="2"/>
  <c r="G11" i="5" s="1"/>
  <c r="N17" i="2"/>
  <c r="F11" i="5" s="1"/>
  <c r="M17" i="2"/>
  <c r="E11" i="5" s="1"/>
  <c r="L17" i="2"/>
  <c r="D11" i="5" s="1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G10" i="5" s="1"/>
  <c r="N10" i="2"/>
  <c r="F10" i="5" s="1"/>
  <c r="M10" i="2"/>
  <c r="E10" i="5" s="1"/>
  <c r="L10" i="2"/>
  <c r="D10" i="5" s="1"/>
  <c r="O9" i="2"/>
  <c r="N9" i="2"/>
  <c r="M9" i="2"/>
  <c r="L9" i="2"/>
  <c r="O8" i="2"/>
  <c r="N8" i="2"/>
  <c r="M8" i="2"/>
  <c r="E9" i="5" s="1"/>
  <c r="L8" i="2"/>
  <c r="D9" i="5" s="1"/>
  <c r="O7" i="2"/>
  <c r="G8" i="5" s="1"/>
  <c r="N7" i="2"/>
  <c r="F8" i="5" s="1"/>
  <c r="M7" i="2"/>
  <c r="E8" i="5" s="1"/>
  <c r="L7" i="2"/>
  <c r="D8" i="5" s="1"/>
  <c r="O6" i="2"/>
  <c r="G7" i="5" s="1"/>
  <c r="N6" i="2"/>
  <c r="F7" i="5" s="1"/>
  <c r="M6" i="2"/>
  <c r="E7" i="5" s="1"/>
  <c r="L6" i="2"/>
  <c r="O5" i="2"/>
  <c r="G6" i="5" s="1"/>
  <c r="N5" i="2"/>
  <c r="F6" i="5" s="1"/>
  <c r="M5" i="2"/>
  <c r="E6" i="5" s="1"/>
  <c r="L5" i="2"/>
  <c r="O4" i="2"/>
  <c r="N4" i="2"/>
  <c r="M4" i="2"/>
  <c r="L4" i="2"/>
  <c r="C14" i="3" s="1"/>
  <c r="F15" i="3" l="1"/>
  <c r="E15" i="3"/>
  <c r="D15" i="3"/>
  <c r="D20" i="5"/>
  <c r="G9" i="5"/>
  <c r="F9" i="5"/>
  <c r="P64" i="2"/>
  <c r="Q64" i="2"/>
  <c r="R64" i="2" s="1"/>
  <c r="S64" i="2" s="1"/>
  <c r="F24" i="5"/>
  <c r="G32" i="5"/>
  <c r="E32" i="5"/>
  <c r="F16" i="3"/>
  <c r="D16" i="3"/>
  <c r="Q34" i="2"/>
  <c r="R34" i="2" s="1"/>
  <c r="S34" i="2" s="1"/>
  <c r="G24" i="5"/>
  <c r="E24" i="5"/>
  <c r="F32" i="5"/>
  <c r="E16" i="3"/>
  <c r="P49" i="2"/>
  <c r="D35" i="5"/>
  <c r="Q49" i="2"/>
  <c r="R49" i="2" s="1"/>
  <c r="S49" i="2" s="1"/>
  <c r="P48" i="2"/>
  <c r="Q48" i="2"/>
  <c r="R48" i="2" s="1"/>
  <c r="S48" i="2" s="1"/>
  <c r="D27" i="5"/>
  <c r="P34" i="2"/>
  <c r="P33" i="2"/>
  <c r="Q33" i="2"/>
  <c r="R33" i="2" s="1"/>
  <c r="C15" i="3"/>
  <c r="G5" i="5"/>
  <c r="F14" i="3"/>
  <c r="F5" i="5"/>
  <c r="E14" i="3"/>
  <c r="E5" i="5"/>
  <c r="D14" i="3"/>
  <c r="P85" i="2"/>
  <c r="Q85" i="2"/>
  <c r="R85" i="2" s="1"/>
  <c r="S85" i="2" s="1"/>
  <c r="D24" i="5"/>
  <c r="D32" i="5"/>
  <c r="P84" i="2"/>
  <c r="Q84" i="2"/>
  <c r="R84" i="2" s="1"/>
  <c r="S84" i="2" s="1"/>
  <c r="D55" i="5"/>
  <c r="Q83" i="2"/>
  <c r="R83" i="2" s="1"/>
  <c r="S83" i="2" s="1"/>
  <c r="P83" i="2"/>
  <c r="D54" i="5"/>
  <c r="P82" i="2"/>
  <c r="Q82" i="2"/>
  <c r="R82" i="2" s="1"/>
  <c r="S82" i="2" s="1"/>
  <c r="D53" i="5"/>
  <c r="Q81" i="2"/>
  <c r="R81" i="2" s="1"/>
  <c r="S81" i="2" s="1"/>
  <c r="P81" i="2"/>
  <c r="C16" i="3"/>
  <c r="Q80" i="2"/>
  <c r="R80" i="2" s="1"/>
  <c r="S80" i="2" s="1"/>
  <c r="P80" i="2"/>
  <c r="P79" i="2"/>
  <c r="Q79" i="2"/>
  <c r="R79" i="2" s="1"/>
  <c r="S79" i="2" s="1"/>
  <c r="P78" i="2"/>
  <c r="Q78" i="2"/>
  <c r="R78" i="2" s="1"/>
  <c r="S78" i="2" s="1"/>
  <c r="P77" i="2"/>
  <c r="Q77" i="2"/>
  <c r="R77" i="2" s="1"/>
  <c r="S77" i="2" s="1"/>
  <c r="P76" i="2"/>
  <c r="Q76" i="2"/>
  <c r="R76" i="2" s="1"/>
  <c r="S76" i="2" s="1"/>
  <c r="P75" i="2"/>
  <c r="Q75" i="2"/>
  <c r="R75" i="2" s="1"/>
  <c r="S75" i="2" s="1"/>
  <c r="P74" i="2"/>
  <c r="Q74" i="2"/>
  <c r="R74" i="2" s="1"/>
  <c r="S74" i="2" s="1"/>
  <c r="P73" i="2"/>
  <c r="Q73" i="2"/>
  <c r="R73" i="2" s="1"/>
  <c r="S73" i="2" s="1"/>
  <c r="Q72" i="2"/>
  <c r="R72" i="2" s="1"/>
  <c r="S72" i="2" s="1"/>
  <c r="P72" i="2"/>
  <c r="Q71" i="2"/>
  <c r="R71" i="2" s="1"/>
  <c r="S71" i="2" s="1"/>
  <c r="P71" i="2"/>
  <c r="Q70" i="2"/>
  <c r="R70" i="2" s="1"/>
  <c r="S70" i="2" s="1"/>
  <c r="P70" i="2"/>
  <c r="P69" i="2"/>
  <c r="Q69" i="2"/>
  <c r="R69" i="2" s="1"/>
  <c r="S69" i="2" s="1"/>
  <c r="P68" i="2"/>
  <c r="Q68" i="2"/>
  <c r="R68" i="2" s="1"/>
  <c r="S68" i="2" s="1"/>
  <c r="Q67" i="2"/>
  <c r="R67" i="2" s="1"/>
  <c r="S67" i="2" s="1"/>
  <c r="P67" i="2"/>
  <c r="Q66" i="2"/>
  <c r="R66" i="2" s="1"/>
  <c r="S66" i="2" s="1"/>
  <c r="P66" i="2"/>
  <c r="Q65" i="2"/>
  <c r="R65" i="2" s="1"/>
  <c r="S65" i="2" s="1"/>
  <c r="P65" i="2"/>
  <c r="P63" i="2"/>
  <c r="Q63" i="2"/>
  <c r="R63" i="2" s="1"/>
  <c r="S63" i="2" s="1"/>
  <c r="P62" i="2"/>
  <c r="Q62" i="2"/>
  <c r="R62" i="2" s="1"/>
  <c r="S62" i="2" s="1"/>
  <c r="P61" i="2"/>
  <c r="Q61" i="2"/>
  <c r="R61" i="2" s="1"/>
  <c r="S61" i="2" s="1"/>
  <c r="P60" i="2"/>
  <c r="Q60" i="2"/>
  <c r="R60" i="2" s="1"/>
  <c r="S60" i="2" s="1"/>
  <c r="P59" i="2"/>
  <c r="Q59" i="2"/>
  <c r="R59" i="2" s="1"/>
  <c r="S59" i="2" s="1"/>
  <c r="P58" i="2"/>
  <c r="Q58" i="2"/>
  <c r="R58" i="2" s="1"/>
  <c r="P57" i="2"/>
  <c r="Q57" i="2"/>
  <c r="R57" i="2" s="1"/>
  <c r="S57" i="2" s="1"/>
  <c r="Q56" i="2"/>
  <c r="R56" i="2" s="1"/>
  <c r="S56" i="2" s="1"/>
  <c r="P56" i="2"/>
  <c r="Q55" i="2"/>
  <c r="R55" i="2" s="1"/>
  <c r="S55" i="2" s="1"/>
  <c r="P55" i="2"/>
  <c r="Q54" i="2"/>
  <c r="R54" i="2" s="1"/>
  <c r="S54" i="2" s="1"/>
  <c r="P54" i="2"/>
  <c r="Q53" i="2"/>
  <c r="R53" i="2" s="1"/>
  <c r="S53" i="2" s="1"/>
  <c r="P53" i="2"/>
  <c r="Q52" i="2"/>
  <c r="R52" i="2" s="1"/>
  <c r="S52" i="2" s="1"/>
  <c r="P52" i="2"/>
  <c r="Q51" i="2"/>
  <c r="R51" i="2" s="1"/>
  <c r="S51" i="2" s="1"/>
  <c r="P51" i="2"/>
  <c r="P50" i="2"/>
  <c r="Q50" i="2"/>
  <c r="R50" i="2" s="1"/>
  <c r="S50" i="2" s="1"/>
  <c r="P47" i="2"/>
  <c r="Q47" i="2"/>
  <c r="R47" i="2" s="1"/>
  <c r="S47" i="2" s="1"/>
  <c r="P46" i="2"/>
  <c r="Q46" i="2"/>
  <c r="R46" i="2" s="1"/>
  <c r="S46" i="2" s="1"/>
  <c r="Q45" i="2"/>
  <c r="R45" i="2" s="1"/>
  <c r="S45" i="2" s="1"/>
  <c r="P45" i="2"/>
  <c r="P44" i="2"/>
  <c r="Q44" i="2"/>
  <c r="R44" i="2" s="1"/>
  <c r="S44" i="2" s="1"/>
  <c r="P43" i="2"/>
  <c r="Q43" i="2"/>
  <c r="R43" i="2" s="1"/>
  <c r="S43" i="2" s="1"/>
  <c r="P42" i="2"/>
  <c r="Q42" i="2"/>
  <c r="R42" i="2" s="1"/>
  <c r="S42" i="2" s="1"/>
  <c r="D31" i="5"/>
  <c r="P41" i="2"/>
  <c r="Q41" i="2"/>
  <c r="R41" i="2" s="1"/>
  <c r="S41" i="2" s="1"/>
  <c r="Q40" i="2"/>
  <c r="R40" i="2" s="1"/>
  <c r="S40" i="2" s="1"/>
  <c r="P40" i="2"/>
  <c r="D30" i="5"/>
  <c r="Q39" i="2"/>
  <c r="R39" i="2" s="1"/>
  <c r="S39" i="2" s="1"/>
  <c r="P39" i="2"/>
  <c r="Q38" i="2"/>
  <c r="R38" i="2" s="1"/>
  <c r="S38" i="2" s="1"/>
  <c r="P38" i="2"/>
  <c r="Q37" i="2"/>
  <c r="R37" i="2" s="1"/>
  <c r="S37" i="2" s="1"/>
  <c r="P37" i="2"/>
  <c r="P36" i="2"/>
  <c r="Q36" i="2"/>
  <c r="R36" i="2" s="1"/>
  <c r="S36" i="2" s="1"/>
  <c r="P35" i="2"/>
  <c r="Q35" i="2"/>
  <c r="R35" i="2" s="1"/>
  <c r="S35" i="2" s="1"/>
  <c r="P32" i="2"/>
  <c r="Q32" i="2"/>
  <c r="R32" i="2" s="1"/>
  <c r="S32" i="2" s="1"/>
  <c r="Q31" i="2"/>
  <c r="R31" i="2" s="1"/>
  <c r="S31" i="2" s="1"/>
  <c r="P31" i="2"/>
  <c r="P30" i="2"/>
  <c r="Q30" i="2"/>
  <c r="R30" i="2" s="1"/>
  <c r="S30" i="2" s="1"/>
  <c r="P29" i="2"/>
  <c r="Q29" i="2"/>
  <c r="R29" i="2" s="1"/>
  <c r="S29" i="2" s="1"/>
  <c r="Q28" i="2"/>
  <c r="R28" i="2" s="1"/>
  <c r="S28" i="2" s="1"/>
  <c r="P28" i="2"/>
  <c r="Q27" i="2"/>
  <c r="R27" i="2" s="1"/>
  <c r="S27" i="2" s="1"/>
  <c r="P27" i="2"/>
  <c r="Q26" i="2"/>
  <c r="R26" i="2" s="1"/>
  <c r="S26" i="2" s="1"/>
  <c r="P26" i="2"/>
  <c r="P25" i="2"/>
  <c r="Q25" i="2"/>
  <c r="R25" i="2" s="1"/>
  <c r="S25" i="2" s="1"/>
  <c r="P24" i="2"/>
  <c r="Q24" i="2"/>
  <c r="R24" i="2" s="1"/>
  <c r="S24" i="2" s="1"/>
  <c r="Q23" i="2"/>
  <c r="R23" i="2" s="1"/>
  <c r="S23" i="2" s="1"/>
  <c r="P23" i="2"/>
  <c r="Q22" i="2"/>
  <c r="R22" i="2" s="1"/>
  <c r="S22" i="2" s="1"/>
  <c r="P22" i="2"/>
  <c r="P21" i="2"/>
  <c r="Q21" i="2"/>
  <c r="R21" i="2" s="1"/>
  <c r="S21" i="2" s="1"/>
  <c r="P20" i="2"/>
  <c r="Q20" i="2"/>
  <c r="R20" i="2" s="1"/>
  <c r="S20" i="2" s="1"/>
  <c r="Q19" i="2"/>
  <c r="R19" i="2" s="1"/>
  <c r="S19" i="2" s="1"/>
  <c r="P19" i="2"/>
  <c r="P18" i="2"/>
  <c r="Q18" i="2"/>
  <c r="R18" i="2" s="1"/>
  <c r="S18" i="2" s="1"/>
  <c r="P17" i="2"/>
  <c r="Q17" i="2"/>
  <c r="R17" i="2" s="1"/>
  <c r="S17" i="2" s="1"/>
  <c r="P16" i="2"/>
  <c r="Q16" i="2"/>
  <c r="R16" i="2" s="1"/>
  <c r="S16" i="2" s="1"/>
  <c r="P15" i="2"/>
  <c r="Q15" i="2"/>
  <c r="R15" i="2" s="1"/>
  <c r="S15" i="2" s="1"/>
  <c r="P14" i="2"/>
  <c r="Q14" i="2"/>
  <c r="R14" i="2" s="1"/>
  <c r="S14" i="2" s="1"/>
  <c r="Q13" i="2"/>
  <c r="R13" i="2" s="1"/>
  <c r="S13" i="2" s="1"/>
  <c r="P13" i="2"/>
  <c r="Q12" i="2"/>
  <c r="R12" i="2" s="1"/>
  <c r="S12" i="2" s="1"/>
  <c r="P12" i="2"/>
  <c r="P11" i="2"/>
  <c r="Q11" i="2"/>
  <c r="R11" i="2" s="1"/>
  <c r="S11" i="2" s="1"/>
  <c r="Q10" i="2"/>
  <c r="R10" i="2" s="1"/>
  <c r="S10" i="2" s="1"/>
  <c r="P10" i="2"/>
  <c r="Q9" i="2"/>
  <c r="R9" i="2" s="1"/>
  <c r="S9" i="2" s="1"/>
  <c r="P9" i="2"/>
  <c r="Q8" i="2"/>
  <c r="R8" i="2" s="1"/>
  <c r="S8" i="2" s="1"/>
  <c r="P8" i="2"/>
  <c r="P7" i="2"/>
  <c r="Q7" i="2"/>
  <c r="R7" i="2" s="1"/>
  <c r="S7" i="2" s="1"/>
  <c r="P6" i="2"/>
  <c r="Q6" i="2"/>
  <c r="R6" i="2" s="1"/>
  <c r="S6" i="2" s="1"/>
  <c r="D7" i="5"/>
  <c r="P5" i="2"/>
  <c r="D6" i="5"/>
  <c r="Q5" i="2"/>
  <c r="R5" i="2" s="1"/>
  <c r="S5" i="2" s="1"/>
  <c r="D5" i="5"/>
  <c r="Q4" i="2"/>
  <c r="R4" i="2" s="1"/>
  <c r="P4" i="2"/>
  <c r="S33" i="2" l="1"/>
  <c r="C7" i="3"/>
  <c r="D7" i="3"/>
  <c r="G7" i="3" s="1"/>
  <c r="E7" i="3"/>
  <c r="F7" i="3"/>
  <c r="S58" i="2"/>
  <c r="C8" i="3"/>
  <c r="D8" i="3"/>
  <c r="E8" i="3"/>
  <c r="F8" i="3"/>
  <c r="S4" i="2"/>
  <c r="C6" i="3"/>
  <c r="D6" i="3"/>
  <c r="E6" i="3"/>
  <c r="F6" i="3"/>
  <c r="D9" i="3" l="1"/>
  <c r="C8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G6" i="3"/>
  <c r="C9" i="3"/>
  <c r="E9" i="3"/>
  <c r="F9" i="3"/>
  <c r="G8" i="3"/>
  <c r="G10" i="4" l="1"/>
  <c r="G11" i="4"/>
  <c r="G9" i="4"/>
  <c r="G8" i="4"/>
  <c r="G9" i="3"/>
</calcChain>
</file>

<file path=xl/sharedStrings.xml><?xml version="1.0" encoding="utf-8"?>
<sst xmlns="http://schemas.openxmlformats.org/spreadsheetml/2006/main" count="3706" uniqueCount="580">
  <si>
    <t>ANEXO D · MATRIZ DE ANÁLISIS DE BRECHAS</t>
  </si>
  <si>
    <t>Objeto</t>
  </si>
  <si>
    <t>Identificar, priorizar y asignar responsables a las brechas de cumplimiento normativo (LOPDP/RGLOPDP), madurez institucional y gobernanza tecnológica detectadas en la autoevaluación de las cuatro instituciones educativas participantes (Institución A, B, C y D), con el fin de orientar su cierre hasta alcanzar el 100% de cumplimiento de la LOPDP.</t>
  </si>
  <si>
    <t>Marco de referencia</t>
  </si>
  <si>
    <t>Ley Orgánica de Protección de Datos Personales (LOPDP) y su Reglamento General; ISO/IEC 27001:2022 (Sistema de Gestión de Seguridad de la Información y Anexo A de controles); ISO/IEC 27701 (gestión de la privacidad); Esquema Gubernamental de Seguridad de la Información (EGSI).</t>
  </si>
  <si>
    <t>Fuentes de información</t>
  </si>
  <si>
    <t>Instrumento de Autoevaluación Institucional (Módulos 1, 2 y 3) e Informes Ejecutivos de las cuatro instituciones educativas evaluadas.</t>
  </si>
  <si>
    <t>Elaborado por</t>
  </si>
  <si>
    <t>Equipo de investigación — enfoque de seguridad de la información aplicado a la LOPDP (Ecuador).</t>
  </si>
  <si>
    <t>Alcance</t>
  </si>
  <si>
    <t>82 criterios/dimensiones evaluados: 29 de cumplimiento normativo (Módulo 1), 25 de madurez institucional (Módulo 2) y 28 de gobernanza tecnológica (Módulo 3).</t>
  </si>
  <si>
    <t>METODOLOGÍA DE PRIORIZACIÓN</t>
  </si>
  <si>
    <t>•  Cada criterio recibe un puntaje de brecha (0 a 8) que suma la situación de las 4 instituciones: No = 2 pts · Parcial = 1 pt · Sí = 0 pts (Módulos 1 y 3); Nivel de madurez 1 = 2 pts · 2 = 1.5 · 3 = 1 · 4 = 0.5 · 5 = 0 pts (Módulo 2).</t>
  </si>
  <si>
    <t>•  Prioridad: CRÍTICA (puntaje ≥ 6) · ALTA (≥ 4) · MEDIA (≥ 2) · BAJA (&lt; 2).</t>
  </si>
  <si>
    <t>•  Plazo sugerido: CRÍTICA 0-3 meses · ALTA 3-6 meses · MEDIA 6-9 meses · BAJA 9-12 meses.</t>
  </si>
  <si>
    <t>•  Cada criterio se mapea a su control correspondiente del Anexo A de ISO/IEC 27001:2022 (u otra cláusula del SGSI) y a su base legal en la LOPDP, de forma que el cierre de la brecha sea a la vez jurídicamente exigible y técnicamente auditable.</t>
  </si>
  <si>
    <t>CONTENIDO DEL LIBRO</t>
  </si>
  <si>
    <t>Los 82 criterios con estado por institución, control ISO 27001, riesgo, acción correctiva, prioridad y plazo.</t>
  </si>
  <si>
    <t>Tablero con brechas por módulo/institución e índice actual vs. meta de 100%.</t>
  </si>
  <si>
    <t>Cronograma consolidado (0-3, 3-6, 6-9, 9-12 meses) para cerrar todas las brechas.</t>
  </si>
  <si>
    <t>Trazabilidad entre criterios LOPDP y controles del Anexo A de ISO/IEC 27001:2022.</t>
  </si>
  <si>
    <t>Plan_Institucion_A..D</t>
  </si>
  <si>
    <t>Plan de cierre de brechas específico y priorizado para cada institución.</t>
  </si>
  <si>
    <t>MATRIZ DE ANÁLISIS DE BRECHAS — DETALLE DE 82 CRITERIOS (MÓDULOS 1, 2 Y 3)</t>
  </si>
  <si>
    <t>Módulo</t>
  </si>
  <si>
    <t>ID</t>
  </si>
  <si>
    <t>Sección</t>
  </si>
  <si>
    <t>Criterio / Dimensión</t>
  </si>
  <si>
    <t>Base legal / Marco</t>
  </si>
  <si>
    <t>Control ISO/IEC 27001:2022 (Anexo A / cláusula)</t>
  </si>
  <si>
    <t>Estado A</t>
  </si>
  <si>
    <t>Estado B</t>
  </si>
  <si>
    <t>Estado C</t>
  </si>
  <si>
    <t>Estado D</t>
  </si>
  <si>
    <t>Pts A</t>
  </si>
  <si>
    <t>Pts B</t>
  </si>
  <si>
    <t>Pts C</t>
  </si>
  <si>
    <t>Pts D</t>
  </si>
  <si>
    <t>N° instituciones
con brecha</t>
  </si>
  <si>
    <t>Puntaje de
brecha (0-8)</t>
  </si>
  <si>
    <t>Prioridad</t>
  </si>
  <si>
    <t>Plazo sugerido</t>
  </si>
  <si>
    <t>Instituciones
con brecha</t>
  </si>
  <si>
    <t>Riesgo si no se corrige</t>
  </si>
  <si>
    <t>Acción correctiva recomendada</t>
  </si>
  <si>
    <t>Responsable sugerido</t>
  </si>
  <si>
    <t>Meta (100% LOPDP)</t>
  </si>
  <si>
    <t>M1 · Cumplimiento LOPDP/RGLOPDP</t>
  </si>
  <si>
    <t>A1</t>
  </si>
  <si>
    <t>A. Inventario y bases de datos</t>
  </si>
  <si>
    <t>Identificación y registro de todas las bases de datos que contienen datos personales</t>
  </si>
  <si>
    <t>Art. 26, 11 y 37 LOPDP</t>
  </si>
  <si>
    <t>A.5.9 Inventario de información y otros activos asociados</t>
  </si>
  <si>
    <t>Parcial</t>
  </si>
  <si>
    <t>Sí</t>
  </si>
  <si>
    <t>No</t>
  </si>
  <si>
    <t>A, D</t>
  </si>
  <si>
    <t>Sin inventario no es posible acreditar qué se trata, dónde reside ni protegerlo; imposibilita atender requerimientos de la Superintendencia y derechos ARCO+.</t>
  </si>
  <si>
    <t>Levantar y mantener un inventario único de bases de datos con responsable, finalidad, base de legitimación y ubicación (Registro de Actividades de Tratamiento, RAT).</t>
  </si>
  <si>
    <t>DPD + Secretaría/áreas dueñas de la información</t>
  </si>
  <si>
    <t>Sí / Cumple</t>
  </si>
  <si>
    <t>A2</t>
  </si>
  <si>
    <t>Finalidad específica definida para cada tratamiento</t>
  </si>
  <si>
    <t>Art. 11 LOPDP</t>
  </si>
  <si>
    <t>A.5.12 Clasificación de la información</t>
  </si>
  <si>
    <t>D</t>
  </si>
  <si>
    <t>El tratamiento sin finalidad explícita habilita el uso desviado de datos (function creep) y vulnera el principio de finalidad.</t>
  </si>
  <si>
    <t>Documentar la finalidad de cada tratamiento en el RAT y en los avisos de privacidad correspondientes.</t>
  </si>
  <si>
    <t>DPD + áreas dueñas de la información</t>
  </si>
  <si>
    <t>A3</t>
  </si>
  <si>
    <t>Documentación del período de conservación conforme a minimización y proporcionalidad</t>
  </si>
  <si>
    <t>Art. 10, 12 LOPDP</t>
  </si>
  <si>
    <t>A.5.33 Protección de los registros</t>
  </si>
  <si>
    <t>C, D</t>
  </si>
  <si>
    <t>La retención indefinida de datos incrementa la superficie de exposición ante incidentes y contraviene el principio de conservación limitada.</t>
  </si>
  <si>
    <t>Definir y publicar una tabla de retención y eliminación de datos personales por tipo de dato y proceso.</t>
  </si>
  <si>
    <t>DPD + Archivo/Secretaría</t>
  </si>
  <si>
    <t>A4</t>
  </si>
  <si>
    <t>Inventario actualizado de flujos de datos (quién recibe, quién envía, con qué propósito)</t>
  </si>
  <si>
    <t>Art. 26 LOPDP</t>
  </si>
  <si>
    <t>A.5.9 / A.8.1 Dispositivos de usuario final</t>
  </si>
  <si>
    <t>A, B, C, D</t>
  </si>
  <si>
    <t>Sin mapa de flujos no se detectan transferencias no autorizadas a terceros o a la nube, ni se puede evaluar el riesgo de transferencias internacionales.</t>
  </si>
  <si>
    <t>Elaborar un diagrama de flujos de datos personales (origen, destino, medio, finalidad) y mantenerlo actualizado.</t>
  </si>
  <si>
    <t>DPD + TI</t>
  </si>
  <si>
    <t>B1</t>
  </si>
  <si>
    <t>B. Consentimiento e información al titular</t>
  </si>
  <si>
    <t>Información al titular sobre qué datos se recopilan, cómo se usan y con quién se comparten</t>
  </si>
  <si>
    <t>Art. 14, 15 LOPDP</t>
  </si>
  <si>
    <t>A.5.34 Privacidad y protección de datos personales (PII)</t>
  </si>
  <si>
    <t>B, C, D</t>
  </si>
  <si>
    <t>La falta de información transparente impide el consentimiento válido e informado y expone a sanciones por falta de transparencia.</t>
  </si>
  <si>
    <t>Publicar avisos de privacidad claros y accesibles (portal web, matrícula, carteleras) para cada finalidad de tratamiento.</t>
  </si>
  <si>
    <t>DPD + Comunicación/Secretaría</t>
  </si>
  <si>
    <t>B2</t>
  </si>
  <si>
    <t>Obtención de consentimiento explícito antes de recopilar o procesar datos personales</t>
  </si>
  <si>
    <t>Art. 9 LOPDP</t>
  </si>
  <si>
    <t>El tratamiento sin consentimiento válido (o sin otra base de legitimación) constituye una infracción directa y es la causal más común de sanción.</t>
  </si>
  <si>
    <t>Implementar un formato de consentimiento informado (físico o digital) con registro de evidencia, diferenciado por finalidad.</t>
  </si>
  <si>
    <t>DPD + Secretaría</t>
  </si>
  <si>
    <t>B3</t>
  </si>
  <si>
    <t>Política de privacidad clara, accesible y revisada periódicamente</t>
  </si>
  <si>
    <t>Art. 14 LOPDP</t>
  </si>
  <si>
    <t>A.5.1 Políticas de seguridad de la información</t>
  </si>
  <si>
    <t>A, C, D</t>
  </si>
  <si>
    <t>Una política ausente o desactualizada deja sin marco de referencia a la comunidad educativa y al personal encargado del tratamiento.</t>
  </si>
  <si>
    <t>Redactar, aprobar y publicar la política institucional de protección de datos personales; revisarla al menos una vez al año.</t>
  </si>
  <si>
    <t>Dirección + DPD</t>
  </si>
  <si>
    <t>B4</t>
  </si>
  <si>
    <t>Información a los titulares sobre cómo ejercer sus derechos ARCO+</t>
  </si>
  <si>
    <t>Art. 19-25 LOPDP</t>
  </si>
  <si>
    <t>Los titulares no pueden ejercer derechos que desconocen, lo que perpetúa el uso de datos sin control del titular.</t>
  </si>
  <si>
    <t>Incluir en avisos de privacidad y canales institucionales el procedimiento y medios para ejercer derechos ARCO+.</t>
  </si>
  <si>
    <t>DPD + Comunicación</t>
  </si>
  <si>
    <t>B5</t>
  </si>
  <si>
    <t>Política de uso de cookies con consentimiento informado</t>
  </si>
  <si>
    <t>Art. 8, 9 y 14 LOPDP</t>
  </si>
  <si>
    <t>El uso de cookies o rastreo sin consentimiento en plataformas institucionales expone a tratamiento no autorizado de datos de navegación.</t>
  </si>
  <si>
    <t>Implementar aviso/banner de cookies con opciones de aceptación granular en los sitios y plataformas institucionales.</t>
  </si>
  <si>
    <t>TI + DPD</t>
  </si>
  <si>
    <t>C1</t>
  </si>
  <si>
    <t>C. Derechos de los titulares (ARCO+)</t>
  </si>
  <si>
    <t>Mecanismo formal para atender solicitudes de Acceso a datos personales</t>
  </si>
  <si>
    <t>Art. 19 LOPDP</t>
  </si>
  <si>
    <t>La ausencia de canal formal deriva en respuestas informales, fuera de plazo o inexistentes, con riesgo de sanción y pérdida de confianza.</t>
  </si>
  <si>
    <t>Crear un procedimiento documentado (formulario, canal y plazos) para solicitudes de acceso.</t>
  </si>
  <si>
    <t>C2</t>
  </si>
  <si>
    <t>Mecanismo formal para solicitudes de Rectificación de datos</t>
  </si>
  <si>
    <t>Art. 20 LOPDP</t>
  </si>
  <si>
    <t>Datos inexactos no corregidos afectan decisiones académicas/administrativas y vulneran el derecho de rectificación.</t>
  </si>
  <si>
    <t>Extender el procedimiento de derechos ARCO+ para incluir rectificación con verificación de identidad y trazabilidad del cambio.</t>
  </si>
  <si>
    <t>C3</t>
  </si>
  <si>
    <t>Mecanismo formal para solicitudes de Cancelación / Supresión de datos</t>
  </si>
  <si>
    <t>Art. 21 LOPDP</t>
  </si>
  <si>
    <t>Sin procedimiento de supresión, los datos se conservan más allá de lo necesario incluso cuando el titular lo solicita.</t>
  </si>
  <si>
    <t>Definir el procedimiento y las excepciones legales de conservación aplicables a la supresión de datos.</t>
  </si>
  <si>
    <t>DPD + Secretaría/Archivo</t>
  </si>
  <si>
    <t>C4</t>
  </si>
  <si>
    <t>Mecanismo formal para solicitudes de Oposición al tratamiento</t>
  </si>
  <si>
    <t>Art. 22 LOPDP</t>
  </si>
  <si>
    <t>La imposibilidad de oponerse a tratamientos (p. ej. uso de imagen) genera exposición legal y afecta la confianza de las familias.</t>
  </si>
  <si>
    <t>Incorporar la oposición como opción explícita en los formatos de consentimiento y en el procedimiento de derechos.</t>
  </si>
  <si>
    <t>C5</t>
  </si>
  <si>
    <t>Cumplimiento de los plazos legales para atender derechos de los titulares</t>
  </si>
  <si>
    <t>Art. 19-26 LOPDP</t>
  </si>
  <si>
    <t>A.5.34 / A.9.1 Monitoreo, medición, análisis y evaluación (cláusula 9.1)</t>
  </si>
  <si>
    <t>A, B, C</t>
  </si>
  <si>
    <t>El incumplimiento de plazos, aun existiendo procedimiento, constituye infracción y erosiona la confianza institucional.</t>
  </si>
  <si>
    <t>Establecer indicadores de tiempo de respuesta y un registro de solicitudes con seguimiento de vencimientos.</t>
  </si>
  <si>
    <t>DPD</t>
  </si>
  <si>
    <t>D1</t>
  </si>
  <si>
    <t>D. Responsable y encargado del tratamiento</t>
  </si>
  <si>
    <t>Delegado de Protección de Datos (DPD) formalmente designado</t>
  </si>
  <si>
    <t>Art. 47-50 LOPDP</t>
  </si>
  <si>
    <t>A.5.2 Roles y responsabilidades de seguridad de la información</t>
  </si>
  <si>
    <t>La falta de DPD deja sin punto focal la gobernanza de datos y es en sí misma una infracción cuando la institución está obligada a designarlo.</t>
  </si>
  <si>
    <t>Formalizar por escrito la designación del DPD (o encargado equivalente), notificarla y publicar sus datos de contacto.</t>
  </si>
  <si>
    <t>Dirección/Rectorado</t>
  </si>
  <si>
    <t>D2</t>
  </si>
  <si>
    <t>Contratos firmados con encargados de tratamiento externos</t>
  </si>
  <si>
    <t>Art. 38 LOPDP</t>
  </si>
  <si>
    <t>A.5.20 Abordar la seguridad de la información en los acuerdos con proveedores</t>
  </si>
  <si>
    <t>Sin contrato, la institución no puede exigir ni acreditar que el proveedor (p. ej. plataforma educativa) proteja los datos que trata en su nombre.</t>
  </si>
  <si>
    <t>Incorporar cláusulas de protección de datos en todo contrato con proveedores que traten datos personales; regularizar los vigentes.</t>
  </si>
  <si>
    <t>Jurídico + DPD</t>
  </si>
  <si>
    <t>D3</t>
  </si>
  <si>
    <t>Acuerdos de confidencialidad firmados con encargados y colaboradores que acceden a datos</t>
  </si>
  <si>
    <t>Art. 38, 39 LOPDP</t>
  </si>
  <si>
    <t>A.6.6 Acuerdos de confidencialidad o no divulgación</t>
  </si>
  <si>
    <t>Personal y terceros sin acuerdo de confidencialidad pueden divulgar datos sin consecuencia contractual exigible.</t>
  </si>
  <si>
    <t>Firmar acuerdos de confidencialidad con todo el personal y terceros con acceso a datos personales.</t>
  </si>
  <si>
    <t>Talento Humano + Jurídico</t>
  </si>
  <si>
    <t>D4</t>
  </si>
  <si>
    <t>Verificación de que los encargados externos cumplen con la LOPDP</t>
  </si>
  <si>
    <t>A.5.22 Seguimiento, revisión y gestión de cambios en los servicios de proveedores</t>
  </si>
  <si>
    <t>Sin verificación, la institución delega el tratamiento a terceros sin control sobre su nivel real de cumplimiento.</t>
  </si>
  <si>
    <t>Establecer una evaluación periódica (cuestionario o auditoría) del cumplimiento de los encargados de tratamiento.</t>
  </si>
  <si>
    <t>E1</t>
  </si>
  <si>
    <t>E. Seguridad de la información</t>
  </si>
  <si>
    <t>Medidas de seguridad técnicas y organizativas para proteger datos personales</t>
  </si>
  <si>
    <t>Art. 37 LOPDP</t>
  </si>
  <si>
    <t>A.5.1 Políticas de seguridad de la información / Cláusula 8 Operación</t>
  </si>
  <si>
    <t>La ausencia de medidas técnicas y organizativas es la causa raíz de incidentes de confidencialidad, integridad y disponibilidad de datos.</t>
  </si>
  <si>
    <t>Definir e implementar un conjunto mínimo de controles técnicos y organizativos alineados a ISO/IEC 27001:2022, priorizados por riesgo.</t>
  </si>
  <si>
    <t>E2</t>
  </si>
  <si>
    <t>Análisis de riesgos que incluya el tratamiento de datos personales</t>
  </si>
  <si>
    <t>Art. 37 y 40 LOPDP</t>
  </si>
  <si>
    <t>Cláusula 6.1 / 8.2 Evaluación de riesgos de seguridad de la información</t>
  </si>
  <si>
    <t>Sin análisis de riesgos, las medidas de seguridad se adoptan de forma reactiva y no proporcional a la sensibilidad de los datos tratados.</t>
  </si>
  <si>
    <t>Ejecutar un análisis de riesgos de protección de datos (activos, amenazas, vulnerabilidades, impacto) y actualizarlo anualmente.</t>
  </si>
  <si>
    <t>E3</t>
  </si>
  <si>
    <t>Evaluación de Impacto en Protección de Datos (EIPD) para tratamientos de alto riesgo</t>
  </si>
  <si>
    <t>Art. 37 y 47 LOPDP</t>
  </si>
  <si>
    <t>Cláusula 8.2 Evaluación de riesgos de seguridad de la información</t>
  </si>
  <si>
    <t>Tratamientos de alto riesgo (datos de menores, biométricos, salud) sin EIPD pueden implementarse sin controles proporcionales al riesgo real.</t>
  </si>
  <si>
    <t>Elaborar EIPD para los tratamientos de mayor riesgo (video-vigilancia, biometría, salud, datos de menores) antes de su implementación o de forma retroactiva.</t>
  </si>
  <si>
    <t>E4</t>
  </si>
  <si>
    <t>Procedimiento documentado para notificación de vulneraciones de seguridad</t>
  </si>
  <si>
    <t>Art. 42 y 44 LOPDP</t>
  </si>
  <si>
    <t>A.5.24 Planificación y preparación de la gestión de incidentes / A.6.8 Reporte de eventos</t>
  </si>
  <si>
    <t>Sin procedimiento, una vulneración puede no notificarse en el plazo legal a la Superintendencia ni a los titulares afectados, agravando la sanción.</t>
  </si>
  <si>
    <t>Documentar el procedimiento de gestión y notificación de incidentes/vulneraciones, con roles, plazos y plantillas de notificación.</t>
  </si>
  <si>
    <t>E5</t>
  </si>
  <si>
    <t>Análisis de vulnerabilidades informáticas relacionadas con datos personales</t>
  </si>
  <si>
    <t>A.8.8 Gestión de vulnerabilidades técnicas</t>
  </si>
  <si>
    <t>Vulnerabilidades técnicas no identificadas son la puerta de entrada más común para el acceso no autorizado a datos personales.</t>
  </si>
  <si>
    <t>Implementar un proceso periódico de identificación y remediación de vulnerabilidades en sistemas que tratan datos personales.</t>
  </si>
  <si>
    <t>TI</t>
  </si>
  <si>
    <t>E6</t>
  </si>
  <si>
    <t>Políticas de anonimización, cifrado y eliminación segura de datos</t>
  </si>
  <si>
    <t>A.8.24 Uso de criptografía / A.8.10 Eliminación de la información</t>
  </si>
  <si>
    <t>Datos sin cifrado ni eliminación segura permanecen expuestos ante robo de dispositivos, accesos indebidos o baja de equipos.</t>
  </si>
  <si>
    <t>Definir estándares de cifrado para datos en reposo/tránsito y un procedimiento de borrado seguro para bajas de equipos y medios.</t>
  </si>
  <si>
    <t>E7</t>
  </si>
  <si>
    <t>Señalización visible en zonas con cámaras de seguridad</t>
  </si>
  <si>
    <t>Art. 14 y 37 LOPDP</t>
  </si>
  <si>
    <t>A.7.4 Monitoreo de seguridad física</t>
  </si>
  <si>
    <t>La video-vigilancia sin señalización visible incumple el deber de información y puede considerarse tratamiento no transparente de datos personales.</t>
  </si>
  <si>
    <t>Instalar señalética visible en todas las zonas con cámaras, indicando finalidad y responsable del tratamiento.</t>
  </si>
  <si>
    <t>Administrativo + DPD</t>
  </si>
  <si>
    <t>F1</t>
  </si>
  <si>
    <t>F. Auditoría, capacitación y mejora continua</t>
  </si>
  <si>
    <t>Capacitaciones periódicas a docentes, autoridades y estudiantes sobre protección de datos</t>
  </si>
  <si>
    <t>A.6.3 Concienciación, educación y formación en seguridad de la información</t>
  </si>
  <si>
    <t>El personal no capacitado es la principal fuente de incidentes por error humano (envío indebido, uso de credenciales, phishing).</t>
  </si>
  <si>
    <t>Implementar un plan anual de capacitación en LOPDP y seguridad de la información para todos los roles.</t>
  </si>
  <si>
    <t>Talento Humano + DPD</t>
  </si>
  <si>
    <t>F2</t>
  </si>
  <si>
    <t>Revisiones periódicas y auditorías de cumplimiento de protección de datos</t>
  </si>
  <si>
    <t>Cláusula 9.2 Auditoría interna</t>
  </si>
  <si>
    <t>Sin auditorías, la institución no tiene forma objetiva de verificar si los controles declarados realmente se aplican.</t>
  </si>
  <si>
    <t>Planificar auditorías internas anuales de cumplimiento LOPDP con informe de hallazgos y seguimiento.</t>
  </si>
  <si>
    <t>Auditoría interna/Dirección + DPD</t>
  </si>
  <si>
    <t>F3</t>
  </si>
  <si>
    <t>Política de retención y eliminación de datos documentada y aplicada</t>
  </si>
  <si>
    <t>Art. 10, 12 y 16 LOPDP</t>
  </si>
  <si>
    <t>A.5.33 Protección de los registros / A.8.10 Eliminación de la información</t>
  </si>
  <si>
    <t>Sin política aplicada, persisten datos personales más allá del plazo necesario, ampliando innecesariamente el riesgo de exposición.</t>
  </si>
  <si>
    <t>Aprobar la política de retención (ver A3) y ejecutar depuraciones periódicas verificables.</t>
  </si>
  <si>
    <t>DPD + Archivo</t>
  </si>
  <si>
    <t>F4</t>
  </si>
  <si>
    <t>Pruebas de penetración o análisis de seguridad informática</t>
  </si>
  <si>
    <t>A.8.29 Pruebas de seguridad en el desarrollo y aceptación / A.5.36 Cumplimiento de políticas</t>
  </si>
  <si>
    <t>Sin pruebas de seguridad periódicas, las vulnerabilidades explotables permanecen sin detectar hasta que ocurre un incidente real.</t>
  </si>
  <si>
    <t>Contratar o ejecutar pruebas de seguridad (pentesting/vulnerability assessment) al menos una vez al año sobre sistemas críticos.</t>
  </si>
  <si>
    <t>M2 · Madurez Institucional</t>
  </si>
  <si>
    <t>G1</t>
  </si>
  <si>
    <t>I. Gobernanza y liderazgo en datos</t>
  </si>
  <si>
    <t>Estructura de gobierno de datos con roles y responsabilidades definidos (Responsable, DPD, Encargados)</t>
  </si>
  <si>
    <t>Sin estructura de gobierno, nadie es responsable formal de decisiones sobre datos personales, dificultando la rendición de cuentas.</t>
  </si>
  <si>
    <t>Definir y aprobar formalmente el organigrama de gobierno de datos (RACI) con Responsable, DPD y Encargados.</t>
  </si>
  <si>
    <t>Dirección</t>
  </si>
  <si>
    <t>Nivel 5 / Optimizado</t>
  </si>
  <si>
    <t>G2</t>
  </si>
  <si>
    <t>Liderazgo y compromiso de la alta dirección con el cumplimiento normativo</t>
  </si>
  <si>
    <t>Cláusula 5.1 Liderazgo y compromiso</t>
  </si>
  <si>
    <t>Sin patrocinio directivo, las iniciativas de cumplimiento carecen de recursos y prioridad institucional.</t>
  </si>
  <si>
    <t>Incluir la protección de datos como punto permanente en la planificación estratégica y en los comités de dirección.</t>
  </si>
  <si>
    <t>Rectorado/Dirección</t>
  </si>
  <si>
    <t>G3</t>
  </si>
  <si>
    <t>Políticas institucionales formalizadas sobre privacidad y protección de datos personales</t>
  </si>
  <si>
    <t>La falta de política formal deja los criterios de protección de datos a decisiones ad hoc, inconsistentes entre áreas.</t>
  </si>
  <si>
    <t>Aprobar y difundir la política institucional de protección de datos personales.</t>
  </si>
  <si>
    <t>G4</t>
  </si>
  <si>
    <t>Presupuesto asignado para actividades de cumplimiento y protección de datos</t>
  </si>
  <si>
    <t>Cláusula 7.1 Recursos</t>
  </si>
  <si>
    <t>Sin presupuesto, ninguna de las acciones correctivas de este plan es sostenible en el tiempo.</t>
  </si>
  <si>
    <t>Asignar una partida presupuestaria anual específica para protección de datos y seguridad de la información.</t>
  </si>
  <si>
    <t>Dirección/Financiero</t>
  </si>
  <si>
    <t>P1</t>
  </si>
  <si>
    <t>II. Gestión de procesos y procedimientos</t>
  </si>
  <si>
    <t>Procesos de tratamiento de datos documentados, aprobados y comunicados al personal</t>
  </si>
  <si>
    <t>A.5.37 Procedimientos operativos documentados</t>
  </si>
  <si>
    <t>Procesos no documentados dependen de la memoria de personas concretas, generando inconsistencia y pérdida de conocimiento ante rotación de personal.</t>
  </si>
  <si>
    <t>Documentar y aprobar los procedimientos clave de tratamiento de datos y capacitar al personal en su aplicación.</t>
  </si>
  <si>
    <t>DPD + dueños de proceso</t>
  </si>
  <si>
    <t>P2</t>
  </si>
  <si>
    <t>Registro de Actividades de Tratamiento (RAT) actualizado</t>
  </si>
  <si>
    <t>Un RAT desactualizado o inexistente impide demostrar cumplimiento ante la autoridad de control.</t>
  </si>
  <si>
    <t>Levantar el RAT y establecer una revisión periódica (al menos semestral) para mantenerlo vigente.</t>
  </si>
  <si>
    <t>P3</t>
  </si>
  <si>
    <t>Procedimientos formales para responder derechos ARCO+ de los titulares</t>
  </si>
  <si>
    <t>La ausencia de procedimiento formal deriva en respuestas inconsistentes o fuera de plazo a los titulares.</t>
  </si>
  <si>
    <t>Formalizar el procedimiento único de atención de derechos ARCO+ (ver Módulo 1, sección C).</t>
  </si>
  <si>
    <t>P4</t>
  </si>
  <si>
    <t>Procedimientos para gestión de incidentes y brechas de datos</t>
  </si>
  <si>
    <t>A.5.24 Planificación y preparación de la gestión de incidentes</t>
  </si>
  <si>
    <t>Sin procedimiento, la respuesta ante una brecha real será improvisada, tardía y con mayor impacto legal y reputacional.</t>
  </si>
  <si>
    <t>Aprobar el procedimiento de gestión de incidentes de seguridad de la información con roles y tiempos de respuesta.</t>
  </si>
  <si>
    <t>P5</t>
  </si>
  <si>
    <t>Proceso de revisión y mejora continua de los procedimientos de protección de datos</t>
  </si>
  <si>
    <t>Art. 47 LOPDP</t>
  </si>
  <si>
    <t>Cláusula 10.1 Mejora continua</t>
  </si>
  <si>
    <t>Procedimientos que no se revisan quedan obsoletos frente a cambios normativos, tecnológicos u organizacionales.</t>
  </si>
  <si>
    <t>Establecer un ciclo anual de revisión de procedimientos de protección de datos, con responsable y fecha de revisión.</t>
  </si>
  <si>
    <t>CC1</t>
  </si>
  <si>
    <t>III. Cultura y capacitación organizacional</t>
  </si>
  <si>
    <t>Conocimiento básico del personal sobre la LOPDP y sus obligaciones</t>
  </si>
  <si>
    <t>Personal sin conocimiento básico de la ley no puede identificar ni prevenir incumplimientos en su labor diaria.</t>
  </si>
  <si>
    <t>Difundir una guía básica de LOPDP a todo el personal como parte de la inducción institucional.</t>
  </si>
  <si>
    <t>Talento Humano</t>
  </si>
  <si>
    <t>CC2</t>
  </si>
  <si>
    <t>Capacitaciones formales y periódicas sobre protección de datos a todos los niveles</t>
  </si>
  <si>
    <t>La capacitación puntual o inexistente hace que el conocimiento se pierda y las malas prácticas se perpetúen.</t>
  </si>
  <si>
    <t>Implementar un plan de capacitación anual, con registro de asistencia y evaluación de efectividad.</t>
  </si>
  <si>
    <t>CC3</t>
  </si>
  <si>
    <t>Cultura de privacidad por diseño en el desarrollo de nuevos proyectos o sistemas</t>
  </si>
  <si>
    <t>A.8.25 Ciclo de vida de desarrollo seguro / A.5.34</t>
  </si>
  <si>
    <t>A, B, D</t>
  </si>
  <si>
    <t>Sin privacidad desde el diseño, los nuevos sistemas o proyectos incorporan riesgos de protección de datos evitables desde su concepción.</t>
  </si>
  <si>
    <t>Incluir una lista de verificación de privacidad por diseño en la adquisición o desarrollo de todo nuevo sistema.</t>
  </si>
  <si>
    <t>CC4</t>
  </si>
  <si>
    <t>Consecuencias formales (régimen disciplinario) ante incumplimiento de normas de privacidad</t>
  </si>
  <si>
    <t>A.6.4 Proceso disciplinario</t>
  </si>
  <si>
    <t>Sin consecuencias formales, las políticas de protección de datos carecen de fuerza de cumplimiento interno.</t>
  </si>
  <si>
    <t>Incorporar el incumplimiento de las normas de protección de datos al reglamento interno de trabajo/régimen disciplinario.</t>
  </si>
  <si>
    <t>R1</t>
  </si>
  <si>
    <t>IV. Gestión de riesgos y seguridad</t>
  </si>
  <si>
    <t>Análisis de riesgos formal para el tratamiento de datos personales</t>
  </si>
  <si>
    <t>Ver E2 (Módulo 1): sin análisis de riesgos, los recursos de seguridad se asignan sin criterio de priorización.</t>
  </si>
  <si>
    <t>Formalizar la metodología de análisis de riesgos y aplicarla de forma recurrente (ver Módulo 1, E2).</t>
  </si>
  <si>
    <t>R2</t>
  </si>
  <si>
    <t>Controles, responsables y plazos de mitigación asignados a los riesgos identificados</t>
  </si>
  <si>
    <t>Cláusula 6.1.3 Tratamiento de riesgos de seguridad de la información</t>
  </si>
  <si>
    <t>Riesgos identificados pero sin dueño ni plazo rara vez se mitigan y quedan como hallazgos permanentes.</t>
  </si>
  <si>
    <t>Mantener una matriz de riesgos con controles, responsable y fecha de mitigación, revisada periódicamente.</t>
  </si>
  <si>
    <t>R3</t>
  </si>
  <si>
    <t>Evaluaciones de Impacto en Protección de Datos (EIPD) cuando corresponde</t>
  </si>
  <si>
    <t>Ver E3 (Módulo 1).</t>
  </si>
  <si>
    <t>Ver Módulo 1, E3.</t>
  </si>
  <si>
    <t>R4</t>
  </si>
  <si>
    <t>Medidas de seguridad técnica (cifrado, control de acceso, logs) implementadas y documentadas</t>
  </si>
  <si>
    <t>A.8.24 Uso de criptografía / A.8.15 Registro (logging) / A.8.3 Restricción de acceso</t>
  </si>
  <si>
    <t>Medidas técnicas no documentadas no pueden auditarse ni sostenerse ante cambios de personal.</t>
  </si>
  <si>
    <t>Documentar formalmente los controles técnicos vigentes y las brechas frente al estándar deseado.</t>
  </si>
  <si>
    <t>R5</t>
  </si>
  <si>
    <t>Pruebas periódicas de seguridad (pentesting, análisis de vulnerabilidades)</t>
  </si>
  <si>
    <t>Ver E5/F4 (Módulo 1).</t>
  </si>
  <si>
    <t>Ver Módulo 1, E5 y F4.</t>
  </si>
  <si>
    <t>T1</t>
  </si>
  <si>
    <t>V. Relación con terceros y cadena de valor</t>
  </si>
  <si>
    <t>Cláusulas de protección de datos incluidas en los contratos con proveedores</t>
  </si>
  <si>
    <t>Ver D2 (Módulo 1).</t>
  </si>
  <si>
    <t>Ver Módulo 1, D2.</t>
  </si>
  <si>
    <t>T2</t>
  </si>
  <si>
    <t>Verificación de que los encargados externos cumplen estándares equivalentes de protección de datos</t>
  </si>
  <si>
    <t>Ver D4 (Módulo 1).</t>
  </si>
  <si>
    <t>Ver Módulo 1, D4.</t>
  </si>
  <si>
    <t>T3</t>
  </si>
  <si>
    <t>Registro actualizado de encargados de tratamiento externos</t>
  </si>
  <si>
    <t>A.5.19 Seguridad de la información en las relaciones con proveedores</t>
  </si>
  <si>
    <t>Sin registro, la institución pierde trazabilidad de a quién ha confiado el tratamiento de datos de su comunidad educativa.</t>
  </si>
  <si>
    <t>Mantener un registro único y actualizado de todos los encargados de tratamiento (plataformas, proveedores TI, aliados).</t>
  </si>
  <si>
    <t>VI. Auditoría, monitoreo y mejora continua</t>
  </si>
  <si>
    <t>Auditorías internas periódicas de cumplimiento en protección de datos</t>
  </si>
  <si>
    <t>Ver F2 (Módulo 1).</t>
  </si>
  <si>
    <t>Ver Módulo 1, F2.</t>
  </si>
  <si>
    <t>Auditoría/Dirección</t>
  </si>
  <si>
    <t>Indicadores y métricas de cumplimiento monitoreados regularmente</t>
  </si>
  <si>
    <t>Cláusula 9.1 Monitoreo, medición, análisis y evaluación</t>
  </si>
  <si>
    <t>Sin indicadores, la dirección no tiene visibilidad objetiva del avance ni puede priorizar recursos con base en datos.</t>
  </si>
  <si>
    <t>Definir un tablero de indicadores de cumplimiento LOPDP y revisarlo trimestralmente.</t>
  </si>
  <si>
    <t>Hallazgos de auditoría documentados, priorizados e implementados con seguimiento</t>
  </si>
  <si>
    <t>Hallazgos sin seguimiento se repiten año tras año sin resolverse, erosionando la credibilidad del proceso de auditoría.</t>
  </si>
  <si>
    <t>Implementar un plan de acción con seguimiento formal para cada hallazgo de auditoría.</t>
  </si>
  <si>
    <t>DPD + Dirección</t>
  </si>
  <si>
    <t>Aplicación de un ciclo de mejora continua (PHVA) en la gestión de datos personales</t>
  </si>
  <si>
    <t>Sin ciclo PHVA, el sistema de gestión de protección de datos se estanca y no se adapta a nuevos riesgos o requisitos.</t>
  </si>
  <si>
    <t>Adoptar formalmente el ciclo Planificar-Hacer-Verificar-Actuar como método de gestión del sistema de protección de datos.</t>
  </si>
  <si>
    <t>M3 · Gobernanza Tecnológica</t>
  </si>
  <si>
    <t>TG1</t>
  </si>
  <si>
    <t>I. Estrategia y gobernanza TI</t>
  </si>
  <si>
    <t>Plan estratégico de tecnología de la información (PETI) vigente y alineado al plan institucional</t>
  </si>
  <si>
    <t>EGSI / buenas prácticas de gobierno TI</t>
  </si>
  <si>
    <t>Cláusula 5.2 Política / A.5.1 Políticas de seguridad de la información</t>
  </si>
  <si>
    <t>Sin PETI, las inversiones y decisiones tecnológicas se toman de forma reactiva y desalineada de los objetivos institucionales.</t>
  </si>
  <si>
    <t>Elaborar un PETI a 2-3 años alineado al plan educativo institucional, incluyendo protección de datos como eje.</t>
  </si>
  <si>
    <t>Dirección + TI</t>
  </si>
  <si>
    <t>TG2</t>
  </si>
  <si>
    <t>Unidad o responsable formal de TI con funciones y presupuesto definidos</t>
  </si>
  <si>
    <t>EGSI</t>
  </si>
  <si>
    <t>Sin responsable formal de TI, la gestión tecnológica queda fragmentada y sin rendición de cuentas.</t>
  </si>
  <si>
    <t>Formalizar la unidad o responsable de TI, con funciones, dependencia jerárquica y presupuesto asignado.</t>
  </si>
  <si>
    <t>TG3</t>
  </si>
  <si>
    <t>Comité o instancia de toma de decisiones tecnológicas</t>
  </si>
  <si>
    <t>Decisiones tecnológicas sin instancia formal de decisión generan inversiones inconsistentes y sin trazabilidad.</t>
  </si>
  <si>
    <t>Crear un comité de TI/seguridad de la información con reuniones periódicas documentadas.</t>
  </si>
  <si>
    <t>TG4</t>
  </si>
  <si>
    <t>Aplicación de un marco de referencia de gobernanza TI (COBIT, ITIL, ISO 38500, ISO/IEC 27001 u otro)</t>
  </si>
  <si>
    <t>EGSI / mejores prácticas</t>
  </si>
  <si>
    <t>Cláusula 4.1-4.4 Contexto de la organización y alcance del SGSI</t>
  </si>
  <si>
    <t>Sin marco de referencia, la gestión de TI carece de un lenguaje y estructura de controles comunes y comparables.</t>
  </si>
  <si>
    <t>Adoptar ISO/IEC 27001:2022 como marco de referencia principal y mapear controles existentes contra su Anexo A.</t>
  </si>
  <si>
    <t>TA1</t>
  </si>
  <si>
    <t>II. Inventario y gestión de activos tecnológicos</t>
  </si>
  <si>
    <t>Inventario actualizado de hardware (equipos, servidores, dispositivos de red)</t>
  </si>
  <si>
    <t>Sin inventario de hardware no se puede garantizar que todos los equipos que procesan datos personales estén protegidos y controlados.</t>
  </si>
  <si>
    <t>Levantar y mantener un inventario de hardware con responsable, ubicación y criticidad.</t>
  </si>
  <si>
    <t>TA2</t>
  </si>
  <si>
    <t>Inventario actualizado de software y licencias</t>
  </si>
  <si>
    <t>A.5.9 Inventario de información y otros activos asociados / A.8.19 Instalación de software</t>
  </si>
  <si>
    <t>Software no inventariado puede estar sin licencia, sin actualizar o ser una puerta de entrada no controlada a los sistemas.</t>
  </si>
  <si>
    <t>Levantar y mantener un inventario de software y licencias, con control de instalación autorizada.</t>
  </si>
  <si>
    <t>TA3</t>
  </si>
  <si>
    <t>Identificación y clasificación de los sistemas de información por criticidad</t>
  </si>
  <si>
    <t>Sin clasificación por criticidad, se asignan los mismos (o insuficientes) controles a sistemas con muy distinto nivel de riesgo.</t>
  </si>
  <si>
    <t>Clasificar los sistemas de información según criticidad e impacto en caso de indisponibilidad o compromiso.</t>
  </si>
  <si>
    <t>TA4</t>
  </si>
  <si>
    <t>Gestión del ciclo de vida de los activos tecnológicos (adquisición, operación, baja)</t>
  </si>
  <si>
    <t>A.5.10 Uso aceptable de los activos / A.5.11 Devolución de activos / A.7.14 Eliminación segura de equipos</t>
  </si>
  <si>
    <t>Equipos dados de baja sin procedimiento seguro pueden filtrar datos personales almacenados en ellos.</t>
  </si>
  <si>
    <t>Definir el procedimiento de ciclo de vida de activos, incluyendo borrado seguro previo a la baja o reasignación.</t>
  </si>
  <si>
    <t>SI1</t>
  </si>
  <si>
    <t>III. Sistemas de información y bases de datos</t>
  </si>
  <si>
    <t>Sistemas de información documentados (arquitectura, flujos de datos, usuarios)</t>
  </si>
  <si>
    <t>A.5.9 / A.8.9 Gestión de la configuración</t>
  </si>
  <si>
    <t>Sistemas no documentados dependen del conocimiento tácito de una persona y son difíciles de asegurar o auditar.</t>
  </si>
  <si>
    <t>Documentar la arquitectura, flujos de datos y usuarios de los sistemas de información institucionales.</t>
  </si>
  <si>
    <t>SI2</t>
  </si>
  <si>
    <t>Integración entre los sistemas de información documentada</t>
  </si>
  <si>
    <t>A.8.9 Gestión de la configuración / A.5.9</t>
  </si>
  <si>
    <t>Integraciones no documentadas generan puntos ciegos de seguridad y dificultan detectar fugas de datos entre sistemas.</t>
  </si>
  <si>
    <t>Documentar las integraciones existentes (APIs, exportaciones, sincronizaciones) entre sistemas.</t>
  </si>
  <si>
    <t>SI3</t>
  </si>
  <si>
    <t>Controles de acceso basados en roles (RBAC) o perfiles de usuario</t>
  </si>
  <si>
    <t>A.5.15 Control de acceso / A.8.2 Derechos de acceso privilegiado / A.8.3 Restricción de acceso a la información</t>
  </si>
  <si>
    <t>Sin control de acceso basado en roles, cualquier usuario puede ver o modificar datos personales fuera de su función, violando el principio de mínimo privilegio.</t>
  </si>
  <si>
    <t>Implementar perfiles de acceso por rol en todos los sistemas que traten datos personales, con revisión periódica de permisos.</t>
  </si>
  <si>
    <t>SI4</t>
  </si>
  <si>
    <t>Registro de logs de auditoría en los sistemas de información (accesos, cambios, consultas)</t>
  </si>
  <si>
    <t>A.8.15 Registro (logging) / A.8.16 Actividades de monitoreo</t>
  </si>
  <si>
    <t>Sin logs, ante un incidente es imposible determinar qué datos fueron accedidos, por quién y cuándo.</t>
  </si>
  <si>
    <t>Habilitar el registro de logs de acceso y cambios en los sistemas críticos, con retención y revisión periódica.</t>
  </si>
  <si>
    <t>SI5</t>
  </si>
  <si>
    <t>Planes de continuidad o contingencia para sistemas de información críticos</t>
  </si>
  <si>
    <t>A.5.29 Seguridad de la información durante la disrupción / A.5.30 Preparación TIC para la continuidad del negocio</t>
  </si>
  <si>
    <t>Sin plan de continuidad, un incidente (falla, ransomware) puede dejar sin acceso a datos académicos y administrativos por tiempo indefinido.</t>
  </si>
  <si>
    <t>Elaborar un plan de continuidad/contingencia para los sistemas críticos, con pruebas periódicas.</t>
  </si>
  <si>
    <t>TI + Dirección</t>
  </si>
  <si>
    <t>SI6</t>
  </si>
  <si>
    <t>Respaldos periódicos de bases de datos y sistemas con pruebas de restauración</t>
  </si>
  <si>
    <t>A.8.13 Respaldo de la información</t>
  </si>
  <si>
    <t>Respaldos sin prueba de restauración pueden fallar justo cuando se necesitan, causando pérdida irreversible de datos personales.</t>
  </si>
  <si>
    <t>Formalizar la política de respaldos (frecuencia, retención) y ejecutar pruebas de restauración periódicas documentadas.</t>
  </si>
  <si>
    <t>SEC1</t>
  </si>
  <si>
    <t>IV. Seguridad informática</t>
  </si>
  <si>
    <t>Política de seguridad de la información documentada y vigente</t>
  </si>
  <si>
    <t>Ver E1/B3 (Módulo 1): sin política, no existe un marco de referencia formal para las decisiones de seguridad técnica.</t>
  </si>
  <si>
    <t>Aprobar y difundir la política de seguridad de la información, revisándola al menos anualmente.</t>
  </si>
  <si>
    <t>SEC2</t>
  </si>
  <si>
    <t>Gestión de parches y actualizaciones de seguridad en sistemas operativos y aplicaciones</t>
  </si>
  <si>
    <t>A.8.8 Gestión de vulnerabilidades técnicas / A.8.9 Gestión de la configuración</t>
  </si>
  <si>
    <t>Sistemas sin parches son el vector de explotación más común y de más bajo costo para un atacante.</t>
  </si>
  <si>
    <t>Implementar un proceso formal y calendarizado de gestión de parches y actualizaciones.</t>
  </si>
  <si>
    <t>SEC3</t>
  </si>
  <si>
    <t>Herramientas de protección perimetral (firewall, antivirus, IDS/IPS)</t>
  </si>
  <si>
    <t>A.8.7 Protección contra código malicioso / A.8.20 Seguridad de redes</t>
  </si>
  <si>
    <t>Sin protección perimetral, la red institucional queda expuesta a intrusiones y propagación de malware que comprometan datos personales.</t>
  </si>
  <si>
    <t>Implementar y mantener firewall, antivirus/antimalware centralizado y, cuando el presupuesto lo permita, IDS/IPS.</t>
  </si>
  <si>
    <t>SEC4</t>
  </si>
  <si>
    <t>Segmentación de redes y control de acceso a la infraestructura</t>
  </si>
  <si>
    <t>A.8.22 Segregación de redes / A.8.20 Seguridad de redes</t>
  </si>
  <si>
    <t>Una red plana permite que el compromiso de un dispositivo (p. ej. de un laboratorio estudiantil) exponga sistemas administrativos con datos sensibles.</t>
  </si>
  <si>
    <t>Segmentar la red (administrativa, académica, invitados/Wi-Fi) y controlar el acceso entre segmentos.</t>
  </si>
  <si>
    <t>SEC5</t>
  </si>
  <si>
    <t>Gestión formal del control de accesos privilegiados (administradores de sistemas)</t>
  </si>
  <si>
    <t>A.8.2 Derechos de acceso privilegiado</t>
  </si>
  <si>
    <t>Cuentas de administrador sin control (compartidas, sin registro) son el objetivo prioritario de cualquier ataque y el de mayor impacto si se comprometen.</t>
  </si>
  <si>
    <t>Formalizar la gestión de cuentas privilegiadas: cuentas nominales, registro de uso y revisión periódica.</t>
  </si>
  <si>
    <t>SEC6</t>
  </si>
  <si>
    <t>Pruebas de seguridad (pentesting, ethical hacking) periódicas</t>
  </si>
  <si>
    <t>A.8.8 Gestión de vulnerabilidades técnicas / A.8.29 Pruebas de seguridad</t>
  </si>
  <si>
    <t>Ver F4 (Módulo 1).</t>
  </si>
  <si>
    <t>Ver Módulo 1, F4.</t>
  </si>
  <si>
    <t>SV1</t>
  </si>
  <si>
    <t>V. Gestión de servicios TI y mesa de ayuda</t>
  </si>
  <si>
    <t>Sistema de gestión de incidentes y solicitudes TI (mesa de ayuda / help desk)</t>
  </si>
  <si>
    <t>EGSI / ITIL</t>
  </si>
  <si>
    <t>Sin mesa de ayuda formal, los incidentes de seguridad reportados por usuarios pueden perderse o no escalarse a tiempo.</t>
  </si>
  <si>
    <t>Implementar un canal único (mesa de ayuda) para reportar incidentes y solicitudes TI, incluyendo los de seguridad de datos.</t>
  </si>
  <si>
    <t>SV2</t>
  </si>
  <si>
    <t>Medición de tiempos de respuesta y resolución de incidentes tecnológicos</t>
  </si>
  <si>
    <t>Sin métricas, no es posible saber si la respuesta a incidentes (incluidos los de seguridad) es oportuna.</t>
  </si>
  <si>
    <t>Definir y monitorear indicadores de tiempo de respuesta y resolución de incidentes TI.</t>
  </si>
  <si>
    <t>SV3</t>
  </si>
  <si>
    <t>Acuerdos de Nivel de Servicio (SLA) con proveedores tecnológicos críticos</t>
  </si>
  <si>
    <t>Sin SLA, no hay forma de exigir disponibilidad, soporte o tiempos de atención a proveedores de los que depende el tratamiento de datos.</t>
  </si>
  <si>
    <t>Formalizar SLA con los proveedores tecnológicos críticos (conectividad, plataforma académica, nube).</t>
  </si>
  <si>
    <t>TI + Jurídico</t>
  </si>
  <si>
    <t>SV4</t>
  </si>
  <si>
    <t>Gestión de cambios formalizada para modificaciones en sistemas productivos</t>
  </si>
  <si>
    <t>A.8.32 Gestión de cambios</t>
  </si>
  <si>
    <t>Cambios no controlados en sistemas productivos pueden introducir vulnerabilidades o interrumpir el tratamiento de datos sin trazabilidad.</t>
  </si>
  <si>
    <t>Implementar un procedimiento de gestión de cambios (solicitud, prueba, aprobación, registro) para sistemas productivos.</t>
  </si>
  <si>
    <t>CN1</t>
  </si>
  <si>
    <t>VI. Normativa y cumplimiento tecnológico nacional</t>
  </si>
  <si>
    <t>Gestión de TI alineada con la Ley de Comercio Electrónico, Firmas y Mensajes de Datos</t>
  </si>
  <si>
    <t>Ley de Comercio Electrónico, Firmas y Mensajes de Datos</t>
  </si>
  <si>
    <t>A.5.31 Requisitos legales, estatutarios, regulatorios y contractuales</t>
  </si>
  <si>
    <t>El desconocimiento de esta ley puede invalidar la eficacia jurídica de documentos y comunicaciones electrónicas institucionales.</t>
  </si>
  <si>
    <t>Verificar y documentar el cumplimiento de la normativa de comercio electrónico y firma electrónica en los procesos digitales institucionales.</t>
  </si>
  <si>
    <t>Jurídico + TI</t>
  </si>
  <si>
    <t>CN2</t>
  </si>
  <si>
    <t>Aplicación del Esquema Gubernamental de Seguridad de la Información (EGSI) o similar</t>
  </si>
  <si>
    <t>EGSI (Acuerdo Ministerial)</t>
  </si>
  <si>
    <t>A.5.31 Requisitos legales, estatutarios, regulatorios y contractuales / Cláusula 4.2</t>
  </si>
  <si>
    <t>No adoptar el EGSI deja a la institución sin un piso mínimo de controles de seguridad alineado a la política pública ecuatoriana.</t>
  </si>
  <si>
    <t>Adoptar los controles del EGSI aplicables a instituciones educativas y mapearlos contra el Anexo A de ISO/IEC 27001:2022.</t>
  </si>
  <si>
    <t>CN3</t>
  </si>
  <si>
    <t>Sistemas de información con requisitos de protección de datos desde su diseño (privacy by design)</t>
  </si>
  <si>
    <t>Ver CC3 (Módulo 2): sistemas diseñados sin privacidad incorporada requieren costosos ajustes correctivos posteriores.</t>
  </si>
  <si>
    <t>Ver Módulo 2, CC3.</t>
  </si>
  <si>
    <t>CN4</t>
  </si>
  <si>
    <t>Revisión periódica del cumplimiento normativo tecnológico (auditorías TI)</t>
  </si>
  <si>
    <t>EGSI / LOPDP</t>
  </si>
  <si>
    <t>Sin auditoría TI periódica, el cumplimiento tecnológico se deteriora silenciosamente entre autoevaluaciones.</t>
  </si>
  <si>
    <t>Incluir el componente tecnológico dentro del plan anual de auditoría interna de cumplimiento (ver Módulo 1, F2).</t>
  </si>
  <si>
    <t>TI + Auditoría/Dirección</t>
  </si>
  <si>
    <t>RESUMEN EJECUTIVO DE BRECHAS</t>
  </si>
  <si>
    <t>1. BRECHAS POR MÓDULO Y PRIORIDAD</t>
  </si>
  <si>
    <t>CRÍTICA</t>
  </si>
  <si>
    <t>ALTA</t>
  </si>
  <si>
    <t>MEDIA</t>
  </si>
  <si>
    <t>BAJA</t>
  </si>
  <si>
    <t>Total criterios</t>
  </si>
  <si>
    <t>TOTAL</t>
  </si>
  <si>
    <t>2. BRECHAS ABIERTAS POR INSTITUCIÓN Y MÓDULO (criterios con Pts ≥ 1)</t>
  </si>
  <si>
    <t>Institución A</t>
  </si>
  <si>
    <t>Institución B</t>
  </si>
  <si>
    <t>Institución C</t>
  </si>
  <si>
    <t>Institución D</t>
  </si>
  <si>
    <t>Total criterios del módulo</t>
  </si>
  <si>
    <t>3. ÍNDICE DE CUMPLIMIENTO ACTUAL VS. META (100% LOPDP)</t>
  </si>
  <si>
    <t>Institución</t>
  </si>
  <si>
    <t>Módulo 1
(% actual)</t>
  </si>
  <si>
    <t>Módulo 2
(% madurez)</t>
  </si>
  <si>
    <t>Módulo 3
(% actual)</t>
  </si>
  <si>
    <t>Índice global
(% actual)</t>
  </si>
  <si>
    <t>Meta</t>
  </si>
  <si>
    <t>Brecha a cerrar
(pts %)</t>
  </si>
  <si>
    <t>HOJA DE RUTA CONSOLIDADA HACIA EL 100% DE CUMPLIMIENTO LOPDP</t>
  </si>
  <si>
    <t>Cronograma de cierre de brechas por tramo de prioridad, para las 4 instituciones evaluadas</t>
  </si>
  <si>
    <t>TOTAL DE CRITERIOS EVALUADOS POR EL MODELO</t>
  </si>
  <si>
    <t>Tramo (plazo sugerido)</t>
  </si>
  <si>
    <t>Criterios a cerrar
Institución A</t>
  </si>
  <si>
    <t>Criterios a cerrar
Institución B</t>
  </si>
  <si>
    <t>Criterios a cerrar
Institución C</t>
  </si>
  <si>
    <t>Criterios a cerrar
Institución D</t>
  </si>
  <si>
    <t>% cumplimiento proyectado
(promedio 4 instituciones)</t>
  </si>
  <si>
    <t>0-3 meses  (prioridad CRÍTICA)</t>
  </si>
  <si>
    <t>3-6 meses  (prioridad ALTA)</t>
  </si>
  <si>
    <t>6-9 meses  (prioridad MEDIA)</t>
  </si>
  <si>
    <t>9-12 meses  (prioridad BAJA)</t>
  </si>
  <si>
    <t>N° criterios
asociados</t>
  </si>
  <si>
    <t>Inst. A
con brecha</t>
  </si>
  <si>
    <t>Inst. B
con brecha</t>
  </si>
  <si>
    <t>Inst. C
con brecha</t>
  </si>
  <si>
    <t>Inst. D
con brecha</t>
  </si>
  <si>
    <t>PLAN DE CIERRE DE BRECHAS · Institución A (índice global actual: 55.0%)</t>
  </si>
  <si>
    <t>Plazo</t>
  </si>
  <si>
    <t>Estado actual</t>
  </si>
  <si>
    <t>Control ISO/IEC 27001:2022</t>
  </si>
  <si>
    <t>0-3 meses</t>
  </si>
  <si>
    <t>3-6 meses</t>
  </si>
  <si>
    <t>6-9 meses</t>
  </si>
  <si>
    <t>PLAN DE CIERRE DE BRECHAS · Institución B (índice global actual: 35.6%)</t>
  </si>
  <si>
    <t>PLAN DE CIERRE DE BRECHAS · Institución C (índice global actual: 31.8%)</t>
  </si>
  <si>
    <t>PLAN DE CIERRE DE BRECHAS · Institución D (índice global actual: 11.8%)</t>
  </si>
  <si>
    <t>9-12 meses</t>
  </si>
  <si>
    <t>ANEXO D</t>
  </si>
  <si>
    <t>MATRIZ DE ANÁLISIS DE BRECHAS</t>
  </si>
  <si>
    <t>ESTUDIANTES</t>
  </si>
  <si>
    <t>Armijos Montoya María Milady
Leiva Pazmiño Christian Andrés
Valverde Vargas Pedro Eduardo</t>
  </si>
  <si>
    <t>Maestría en Seguridad Informática — Trabajo de Titulación</t>
  </si>
  <si>
    <t>Permite identificar y evaluar las diferencias entre el estado actual de cumplimiento y el estado esperado, facilitando la priorización de acciones correctivas y oportunidades de mejora en materia de protección de datos personales.</t>
  </si>
  <si>
    <t>TRAZABILIDAD LOPDP - ISO/IEC 27001:2022</t>
  </si>
  <si>
    <t>Matriz Consolidada</t>
  </si>
  <si>
    <t>Resumen Ejecutivo</t>
  </si>
  <si>
    <t>Hoja de Ruta_100pct</t>
  </si>
  <si>
    <t>Mapa ISO27001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</si>
</sst>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4"/>
      <color rgb="FFFFFFFF"/>
      <name val="Arial"/>
      <family val="2"/>
    </font>
    <font>
      <b/>
      <sz val="10"/>
      <color rgb="FF2E5C8A"/>
      <name val="Arial"/>
      <family val="2"/>
    </font>
    <font>
      <b/>
      <sz val="15"/>
      <color theme="0"/>
      <name val="Arial"/>
      <family val="2"/>
    </font>
    <font>
      <sz val="11.5"/>
      <color theme="0"/>
      <name val="Arial"/>
      <family val="2"/>
    </font>
    <font>
      <sz val="10"/>
      <color rgb="FF27406A"/>
      <name val="Arial"/>
      <family val="2"/>
    </font>
    <font>
      <sz val="11"/>
      <name val="Aptos Display"/>
      <family val="2"/>
    </font>
    <font>
      <b/>
      <sz val="11.5"/>
      <name val="Arial"/>
      <family val="2"/>
    </font>
    <font>
      <sz val="11"/>
      <name val="Calibri"/>
      <family val="2"/>
      <charset val="1"/>
    </font>
    <font>
      <sz val="11"/>
      <color theme="1"/>
      <name val="Aptos Display"/>
      <family val="2"/>
    </font>
    <font>
      <b/>
      <sz val="16"/>
      <color rgb="FFFFFFFF"/>
      <name val="Aptos Display"/>
      <family val="2"/>
    </font>
    <font>
      <b/>
      <sz val="10"/>
      <color rgb="FFFFFFFF"/>
      <name val="Aptos Display"/>
      <family val="2"/>
    </font>
    <font>
      <b/>
      <sz val="9"/>
      <color rgb="FFFFFFFF"/>
      <name val="Aptos Display"/>
      <family val="2"/>
    </font>
    <font>
      <sz val="9"/>
      <name val="Aptos Display"/>
      <family val="2"/>
    </font>
    <font>
      <b/>
      <sz val="9"/>
      <color rgb="FF000000"/>
      <name val="Aptos Display"/>
      <family val="2"/>
    </font>
    <font>
      <b/>
      <sz val="12"/>
      <color rgb="FFFFFFFF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b/>
      <sz val="10"/>
      <color rgb="FFC00000"/>
      <name val="Aptos Display"/>
      <family val="2"/>
    </font>
    <font>
      <i/>
      <sz val="10"/>
      <name val="Aptos Display"/>
      <family val="2"/>
    </font>
    <font>
      <b/>
      <sz val="9"/>
      <name val="Aptos Display"/>
      <family val="2"/>
    </font>
    <font>
      <b/>
      <sz val="11"/>
      <color rgb="FFFFFFFF"/>
      <name val="Aptos Display"/>
      <family val="2"/>
    </font>
    <font>
      <sz val="9"/>
      <color theme="1"/>
      <name val="Aptos Display"/>
      <family val="2"/>
    </font>
  </fonts>
  <fills count="32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548235"/>
        <bgColor rgb="FF339966"/>
      </patternFill>
    </fill>
    <fill>
      <patternFill patternType="solid">
        <fgColor rgb="FF27406A"/>
      </patternFill>
    </fill>
    <fill>
      <patternFill patternType="solid">
        <fgColor rgb="FF27406A"/>
        <bgColor indexed="64"/>
      </patternFill>
    </fill>
    <fill>
      <patternFill patternType="solid">
        <fgColor rgb="FF2C446E"/>
      </patternFill>
    </fill>
    <fill>
      <patternFill patternType="solid">
        <fgColor rgb="FF304771"/>
      </patternFill>
    </fill>
    <fill>
      <patternFill patternType="solid">
        <fgColor rgb="FF344B74"/>
      </patternFill>
    </fill>
    <fill>
      <patternFill patternType="solid">
        <fgColor rgb="FF384F77"/>
      </patternFill>
    </fill>
    <fill>
      <patternFill patternType="solid">
        <fgColor rgb="FFFFFFFF"/>
      </patternFill>
    </fill>
    <fill>
      <patternFill patternType="solid">
        <fgColor rgb="FF4D6387"/>
      </patternFill>
    </fill>
    <fill>
      <patternFill patternType="solid">
        <fgColor rgb="FF4D6387"/>
        <bgColor indexed="64"/>
      </patternFill>
    </fill>
    <fill>
      <patternFill patternType="solid">
        <fgColor rgb="FF667A9B"/>
      </patternFill>
    </fill>
    <fill>
      <patternFill patternType="solid">
        <fgColor rgb="FF6B7E9E"/>
      </patternFill>
    </fill>
    <fill>
      <patternFill patternType="solid">
        <fgColor rgb="FF6F81A1"/>
      </patternFill>
    </fill>
    <fill>
      <patternFill patternType="solid">
        <fgColor rgb="FF7385A4"/>
        <bgColor indexed="64"/>
      </patternFill>
    </fill>
    <fill>
      <patternFill patternType="solid">
        <fgColor rgb="FF8899B5"/>
      </patternFill>
    </fill>
    <fill>
      <patternFill patternType="solid">
        <fgColor rgb="FF8C9DB8"/>
      </patternFill>
    </fill>
    <fill>
      <patternFill patternType="solid">
        <fgColor rgb="FF90A0BB"/>
      </patternFill>
    </fill>
    <fill>
      <patternFill patternType="solid">
        <fgColor rgb="FF95A4BE"/>
      </patternFill>
    </fill>
    <fill>
      <patternFill patternType="solid">
        <fgColor rgb="FFCBD7E8"/>
      </patternFill>
    </fill>
    <fill>
      <patternFill patternType="solid">
        <fgColor rgb="FFCBD7E8"/>
        <bgColor indexed="64"/>
      </patternFill>
    </fill>
    <fill>
      <patternFill patternType="solid">
        <fgColor rgb="FFD4DEEF"/>
      </patternFill>
    </fill>
    <fill>
      <patternFill patternType="solid">
        <fgColor rgb="FFDCE6F5"/>
        <bgColor indexed="64"/>
      </patternFill>
    </fill>
    <fill>
      <patternFill patternType="solid">
        <fgColor rgb="FFD8E2F2"/>
      </patternFill>
    </fill>
    <fill>
      <patternFill patternType="solid">
        <fgColor theme="7"/>
        <bgColor rgb="FF333333"/>
      </patternFill>
    </fill>
    <fill>
      <patternFill patternType="solid">
        <fgColor theme="8"/>
        <bgColor rgb="FF1F3864"/>
      </patternFill>
    </fill>
    <fill>
      <patternFill patternType="solid">
        <fgColor theme="8"/>
        <bgColor rgb="FF333333"/>
      </patternFill>
    </fill>
    <fill>
      <patternFill patternType="solid">
        <fgColor theme="7"/>
        <bgColor rgb="FF1F38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DC3E6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/>
    <xf numFmtId="0" fontId="0" fillId="8" borderId="0" xfId="0" applyFill="1"/>
    <xf numFmtId="0" fontId="1" fillId="7" borderId="0" xfId="0" applyFont="1" applyFill="1" applyAlignment="1">
      <alignment horizontal="center" vertical="center"/>
    </xf>
    <xf numFmtId="0" fontId="0" fillId="9" borderId="0" xfId="0" applyFill="1"/>
    <xf numFmtId="0" fontId="2" fillId="7" borderId="0" xfId="0" applyFont="1" applyFill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0" fillId="13" borderId="0" xfId="0" applyFill="1"/>
    <xf numFmtId="0" fontId="4" fillId="14" borderId="0" xfId="0" applyFont="1" applyFill="1" applyAlignment="1">
      <alignment horizontal="left" vertical="center" wrapText="1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5" fillId="18" borderId="0" xfId="0" applyFont="1" applyFill="1" applyAlignment="1">
      <alignment horizontal="left" vertical="center" wrapText="1"/>
    </xf>
    <xf numFmtId="0" fontId="0" fillId="19" borderId="0" xfId="0" applyFill="1"/>
    <xf numFmtId="0" fontId="3" fillId="12" borderId="0" xfId="0" applyFont="1" applyFill="1" applyAlignment="1">
      <alignment horizontal="left"/>
    </xf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4" borderId="0" xfId="0" applyFill="1"/>
    <xf numFmtId="0" fontId="0" fillId="25" borderId="0" xfId="0" applyFill="1"/>
    <xf numFmtId="0" fontId="6" fillId="26" borderId="0" xfId="0" applyFont="1" applyFill="1" applyAlignment="1">
      <alignment horizontal="center" vertical="center"/>
    </xf>
    <xf numFmtId="0" fontId="0" fillId="27" borderId="0" xfId="0" applyFill="1"/>
    <xf numFmtId="0" fontId="7" fillId="12" borderId="0" xfId="0" applyFont="1" applyFill="1" applyAlignment="1">
      <alignment horizontal="center" wrapText="1"/>
    </xf>
    <xf numFmtId="0" fontId="8" fillId="12" borderId="3" xfId="0" applyFont="1" applyFill="1" applyBorder="1" applyAlignment="1">
      <alignment horizontal="right" vertical="center" wrapText="1"/>
    </xf>
    <xf numFmtId="0" fontId="9" fillId="0" borderId="0" xfId="0" applyFont="1"/>
    <xf numFmtId="0" fontId="9" fillId="0" borderId="3" xfId="0" applyFont="1" applyBorder="1"/>
    <xf numFmtId="0" fontId="10" fillId="0" borderId="0" xfId="0" applyFont="1"/>
    <xf numFmtId="0" fontId="13" fillId="2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1" fillId="28" borderId="0" xfId="0" applyFont="1" applyFill="1" applyAlignment="1">
      <alignment horizontal="left" vertical="center" indent="1"/>
    </xf>
    <xf numFmtId="0" fontId="12" fillId="28" borderId="1" xfId="0" applyFont="1" applyFill="1" applyBorder="1" applyAlignment="1">
      <alignment horizontal="center" wrapText="1"/>
    </xf>
    <xf numFmtId="0" fontId="16" fillId="29" borderId="0" xfId="0" applyFont="1" applyFill="1"/>
    <xf numFmtId="0" fontId="12" fillId="28" borderId="1" xfId="0" applyFont="1" applyFill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164" fontId="17" fillId="0" borderId="1" xfId="0" applyNumberFormat="1" applyFont="1" applyBorder="1" applyAlignment="1">
      <alignment horizontal="center"/>
    </xf>
    <xf numFmtId="9" fontId="18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left" vertical="center" indent="1"/>
    </xf>
    <xf numFmtId="0" fontId="18" fillId="0" borderId="2" xfId="0" applyFont="1" applyBorder="1" applyAlignment="1">
      <alignment wrapText="1"/>
    </xf>
    <xf numFmtId="0" fontId="18" fillId="0" borderId="2" xfId="0" applyFont="1" applyBorder="1"/>
    <xf numFmtId="164" fontId="18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31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2" fillId="30" borderId="0" xfId="0" applyFont="1" applyFill="1" applyAlignment="1">
      <alignment horizontal="left" vertical="center" indent="1"/>
    </xf>
    <xf numFmtId="0" fontId="23" fillId="0" borderId="0" xfId="0" applyFont="1"/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top" wrapText="1" indent="1"/>
    </xf>
    <xf numFmtId="0" fontId="17" fillId="0" borderId="2" xfId="0" applyFont="1" applyBorder="1" applyAlignment="1">
      <alignment vertical="top" wrapText="1"/>
    </xf>
    <xf numFmtId="0" fontId="16" fillId="31" borderId="0" xfId="0" applyFont="1" applyFill="1"/>
    <xf numFmtId="0" fontId="18" fillId="0" borderId="2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FFFFFF"/>
        <name val="Arial"/>
        <charset val="1"/>
      </font>
      <fill>
        <patternFill>
          <bgColor rgb="FF548235"/>
        </patternFill>
      </fill>
    </dxf>
    <dxf>
      <font>
        <color rgb="FFFFFFFF"/>
        <name val="Arial"/>
        <charset val="1"/>
      </font>
      <fill>
        <patternFill>
          <bgColor rgb="FF548235"/>
        </patternFill>
      </fill>
    </dxf>
    <dxf>
      <fill>
        <patternFill>
          <bgColor rgb="FFFFC000"/>
        </patternFill>
      </fill>
    </dxf>
    <dxf>
      <font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FFFFFF"/>
        <name val="Arial"/>
        <charset val="1"/>
      </font>
      <fill>
        <patternFill>
          <bgColor rgb="FF548235"/>
        </patternFill>
      </fill>
    </dxf>
    <dxf>
      <font>
        <b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ED7D31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color rgb="FFFFFFFF"/>
        <name val="Arial"/>
        <charset val="1"/>
      </font>
      <fill>
        <patternFill>
          <bgColor rgb="FF548235"/>
        </patternFill>
      </fill>
    </dxf>
    <dxf>
      <fill>
        <patternFill>
          <bgColor rgb="FFFFC000"/>
        </patternFill>
      </fill>
    </dxf>
    <dxf>
      <font>
        <color rgb="FFFFFFFF"/>
        <name val="Arial"/>
        <charset val="1"/>
      </font>
      <fill>
        <patternFill>
          <bgColor rgb="FFC00000"/>
        </patternFill>
      </fill>
    </dxf>
    <dxf>
      <font>
        <color rgb="FFFFFFFF"/>
        <name val="Arial"/>
        <charset val="1"/>
      </font>
      <fill>
        <patternFill>
          <bgColor rgb="FF548235"/>
        </patternFill>
      </fill>
    </dxf>
    <dxf>
      <font>
        <name val="Arial"/>
        <charset val="1"/>
      </font>
      <fill>
        <patternFill>
          <bgColor rgb="FFFFC000"/>
        </patternFill>
      </fill>
    </dxf>
    <dxf>
      <font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21A9-2F51-4F73-ACCB-5AEBB2AFD6AA}">
  <sheetPr>
    <tabColor rgb="FF7030A0"/>
  </sheetPr>
  <dimension ref="B2:L17"/>
  <sheetViews>
    <sheetView tabSelected="1" workbookViewId="0">
      <selection activeCell="N16" sqref="N16"/>
    </sheetView>
  </sheetViews>
  <sheetFormatPr baseColWidth="10" defaultRowHeight="14.5" x14ac:dyDescent="0.35"/>
  <sheetData>
    <row r="2" spans="2:12" x14ac:dyDescent="0.35">
      <c r="B2" s="1"/>
      <c r="C2" s="2"/>
      <c r="D2" s="2"/>
      <c r="E2" s="2"/>
      <c r="F2" s="2"/>
      <c r="G2" s="2"/>
      <c r="H2" s="2"/>
      <c r="I2" s="3"/>
      <c r="J2" s="4"/>
      <c r="K2" s="4"/>
      <c r="L2" s="2"/>
    </row>
    <row r="3" spans="2:12" ht="18" x14ac:dyDescent="0.35">
      <c r="B3" s="5"/>
      <c r="C3" s="6" t="s">
        <v>569</v>
      </c>
      <c r="D3" s="4"/>
      <c r="E3" s="4"/>
      <c r="F3" s="4"/>
      <c r="G3" s="4"/>
      <c r="H3" s="4"/>
      <c r="I3" s="4"/>
      <c r="J3" s="4"/>
      <c r="K3" s="4"/>
      <c r="L3" s="5"/>
    </row>
    <row r="4" spans="2:12" x14ac:dyDescent="0.35">
      <c r="B4" s="7"/>
      <c r="C4" s="8" t="s">
        <v>570</v>
      </c>
      <c r="D4" s="4"/>
      <c r="E4" s="4"/>
      <c r="F4" s="4"/>
      <c r="G4" s="4"/>
      <c r="H4" s="4"/>
      <c r="I4" s="4"/>
      <c r="J4" s="4"/>
      <c r="K4" s="4"/>
      <c r="L4" s="7"/>
    </row>
    <row r="5" spans="2:12" x14ac:dyDescent="0.35">
      <c r="B5" s="9"/>
      <c r="C5" s="4"/>
      <c r="D5" s="4"/>
      <c r="E5" s="4"/>
      <c r="F5" s="4"/>
      <c r="G5" s="4"/>
      <c r="H5" s="4"/>
      <c r="I5" s="4"/>
      <c r="J5" s="4"/>
      <c r="K5" s="4"/>
      <c r="L5" s="9"/>
    </row>
    <row r="6" spans="2:12" x14ac:dyDescent="0.35">
      <c r="B6" s="10"/>
      <c r="C6" s="2"/>
      <c r="D6" s="2"/>
      <c r="E6" s="2"/>
      <c r="F6" s="2"/>
      <c r="G6" s="2"/>
      <c r="H6" s="2"/>
      <c r="I6" s="2"/>
      <c r="J6" s="2"/>
      <c r="K6" s="2"/>
      <c r="L6" s="10"/>
    </row>
    <row r="7" spans="2:12" ht="19" x14ac:dyDescent="0.35">
      <c r="B7" s="11"/>
      <c r="C7" s="12"/>
      <c r="D7" s="4"/>
      <c r="E7" s="4"/>
      <c r="F7" s="4"/>
      <c r="G7" s="4"/>
      <c r="H7" s="4"/>
      <c r="I7" s="4"/>
      <c r="J7" s="4"/>
      <c r="K7" s="4"/>
      <c r="L7" s="13"/>
    </row>
    <row r="8" spans="2:12" x14ac:dyDescent="0.35">
      <c r="B8" s="14"/>
      <c r="C8" s="29" t="s">
        <v>574</v>
      </c>
      <c r="D8" s="29"/>
      <c r="E8" s="29"/>
      <c r="F8" s="29"/>
      <c r="G8" s="29"/>
      <c r="H8" s="29"/>
      <c r="I8" s="29"/>
      <c r="J8" s="29"/>
      <c r="K8" s="29"/>
      <c r="L8" s="14"/>
    </row>
    <row r="9" spans="2:12" x14ac:dyDescent="0.35">
      <c r="B9" s="15"/>
      <c r="C9" s="29"/>
      <c r="D9" s="29"/>
      <c r="E9" s="29"/>
      <c r="F9" s="29"/>
      <c r="G9" s="29"/>
      <c r="H9" s="29"/>
      <c r="I9" s="29"/>
      <c r="J9" s="29"/>
      <c r="K9" s="29"/>
      <c r="L9" s="15"/>
    </row>
    <row r="10" spans="2:12" x14ac:dyDescent="0.35">
      <c r="B10" s="16"/>
      <c r="C10" s="17"/>
      <c r="D10" s="4"/>
      <c r="E10" s="4"/>
      <c r="F10" s="4"/>
      <c r="G10" s="4"/>
      <c r="H10" s="4"/>
      <c r="I10" s="4"/>
      <c r="J10" s="4"/>
      <c r="K10" s="4"/>
      <c r="L10" s="16"/>
    </row>
    <row r="11" spans="2:12" x14ac:dyDescent="0.35">
      <c r="B11" s="18"/>
      <c r="C11" s="19" t="s">
        <v>571</v>
      </c>
      <c r="D11" s="4"/>
      <c r="E11" s="4"/>
      <c r="F11" s="4"/>
      <c r="G11" s="4"/>
      <c r="H11" s="4"/>
      <c r="I11" s="4"/>
      <c r="J11" s="4"/>
      <c r="K11" s="4"/>
      <c r="L11" s="18"/>
    </row>
    <row r="12" spans="2:12" x14ac:dyDescent="0.35">
      <c r="B12" s="20"/>
      <c r="C12" s="30" t="s">
        <v>572</v>
      </c>
      <c r="D12" s="31"/>
      <c r="E12" s="31"/>
      <c r="F12" s="31"/>
      <c r="G12" s="31"/>
      <c r="H12" s="31"/>
      <c r="I12" s="31"/>
      <c r="J12" s="31"/>
      <c r="K12" s="31"/>
      <c r="L12" s="20"/>
    </row>
    <row r="13" spans="2:12" x14ac:dyDescent="0.35">
      <c r="B13" s="21"/>
      <c r="C13" s="31"/>
      <c r="D13" s="31"/>
      <c r="E13" s="31"/>
      <c r="F13" s="31"/>
      <c r="G13" s="31"/>
      <c r="H13" s="31"/>
      <c r="I13" s="31"/>
      <c r="J13" s="31"/>
      <c r="K13" s="31"/>
      <c r="L13" s="21"/>
    </row>
    <row r="14" spans="2:12" x14ac:dyDescent="0.35">
      <c r="B14" s="22"/>
      <c r="C14" s="32"/>
      <c r="D14" s="32"/>
      <c r="E14" s="32"/>
      <c r="F14" s="32"/>
      <c r="G14" s="32"/>
      <c r="H14" s="32"/>
      <c r="I14" s="32"/>
      <c r="J14" s="32"/>
      <c r="K14" s="32"/>
      <c r="L14" s="22"/>
    </row>
    <row r="15" spans="2:12" x14ac:dyDescent="0.35">
      <c r="B15" s="23"/>
      <c r="C15" s="24"/>
      <c r="D15" s="4"/>
      <c r="E15" s="4"/>
      <c r="F15" s="4"/>
      <c r="G15" s="4"/>
      <c r="H15" s="4"/>
      <c r="I15" s="4"/>
      <c r="J15" s="4"/>
      <c r="K15" s="4"/>
      <c r="L15" s="25"/>
    </row>
    <row r="16" spans="2:12" x14ac:dyDescent="0.35">
      <c r="B16" s="26"/>
      <c r="C16" s="27" t="s">
        <v>573</v>
      </c>
      <c r="D16" s="4"/>
      <c r="E16" s="4"/>
      <c r="F16" s="4"/>
      <c r="G16" s="4"/>
      <c r="H16" s="4"/>
      <c r="I16" s="4"/>
      <c r="J16" s="4"/>
      <c r="K16" s="4"/>
      <c r="L16" s="26"/>
    </row>
    <row r="17" spans="2:12" x14ac:dyDescent="0.35">
      <c r="B17" s="28"/>
      <c r="C17" s="4"/>
      <c r="D17" s="4"/>
      <c r="E17" s="4"/>
      <c r="F17" s="4"/>
      <c r="G17" s="4"/>
      <c r="H17" s="4"/>
      <c r="I17" s="4"/>
      <c r="J17" s="4"/>
      <c r="K17" s="4"/>
      <c r="L17" s="28"/>
    </row>
  </sheetData>
  <sheetProtection sheet="1" objects="1" scenarios="1"/>
  <mergeCells count="10">
    <mergeCell ref="C10:K10"/>
    <mergeCell ref="C11:K11"/>
    <mergeCell ref="C12:K14"/>
    <mergeCell ref="C15:K15"/>
    <mergeCell ref="C16:K17"/>
    <mergeCell ref="C8:K9"/>
    <mergeCell ref="I2:K2"/>
    <mergeCell ref="C3:K3"/>
    <mergeCell ref="C4:K5"/>
    <mergeCell ref="C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B2:G21"/>
  <sheetViews>
    <sheetView showGridLines="0" zoomScaleNormal="100" workbookViewId="0">
      <selection activeCell="C6" sqref="C6:G6"/>
    </sheetView>
  </sheetViews>
  <sheetFormatPr baseColWidth="10" defaultColWidth="8.6328125" defaultRowHeight="14.5" x14ac:dyDescent="0.35"/>
  <cols>
    <col min="1" max="1" width="8.6328125" style="33"/>
    <col min="2" max="2" width="22" style="33" customWidth="1"/>
    <col min="3" max="7" width="18" style="33" customWidth="1"/>
    <col min="8" max="16384" width="8.6328125" style="33"/>
  </cols>
  <sheetData>
    <row r="2" spans="2:7" ht="27.75" customHeight="1" x14ac:dyDescent="0.35">
      <c r="B2" s="39" t="s">
        <v>0</v>
      </c>
      <c r="C2" s="39"/>
      <c r="D2" s="39"/>
      <c r="E2" s="39"/>
      <c r="F2" s="39"/>
      <c r="G2" s="39"/>
    </row>
    <row r="4" spans="2:7" ht="60.5" customHeight="1" x14ac:dyDescent="0.35">
      <c r="B4" s="63" t="s">
        <v>1</v>
      </c>
      <c r="C4" s="59" t="s">
        <v>2</v>
      </c>
      <c r="D4" s="59"/>
      <c r="E4" s="59"/>
      <c r="F4" s="59"/>
      <c r="G4" s="59"/>
    </row>
    <row r="5" spans="2:7" ht="45.75" customHeight="1" x14ac:dyDescent="0.35">
      <c r="B5" s="63" t="s">
        <v>3</v>
      </c>
      <c r="C5" s="59" t="s">
        <v>4</v>
      </c>
      <c r="D5" s="59"/>
      <c r="E5" s="59"/>
      <c r="F5" s="59"/>
      <c r="G5" s="59"/>
    </row>
    <row r="6" spans="2:7" ht="45.75" customHeight="1" x14ac:dyDescent="0.35">
      <c r="B6" s="63" t="s">
        <v>5</v>
      </c>
      <c r="C6" s="59" t="s">
        <v>6</v>
      </c>
      <c r="D6" s="59"/>
      <c r="E6" s="59"/>
      <c r="F6" s="59"/>
      <c r="G6" s="59"/>
    </row>
    <row r="7" spans="2:7" ht="45.75" customHeight="1" x14ac:dyDescent="0.35">
      <c r="B7" s="63" t="s">
        <v>7</v>
      </c>
      <c r="C7" s="59" t="s">
        <v>8</v>
      </c>
      <c r="D7" s="59"/>
      <c r="E7" s="59"/>
      <c r="F7" s="59"/>
      <c r="G7" s="59"/>
    </row>
    <row r="8" spans="2:7" ht="45.75" customHeight="1" x14ac:dyDescent="0.35">
      <c r="B8" s="63" t="s">
        <v>9</v>
      </c>
      <c r="C8" s="59" t="s">
        <v>10</v>
      </c>
      <c r="D8" s="59"/>
      <c r="E8" s="59"/>
      <c r="F8" s="59"/>
      <c r="G8" s="59"/>
    </row>
    <row r="10" spans="2:7" ht="16" x14ac:dyDescent="0.4">
      <c r="B10" s="62" t="s">
        <v>11</v>
      </c>
      <c r="C10" s="62"/>
      <c r="D10" s="62"/>
      <c r="E10" s="62"/>
      <c r="F10" s="62"/>
      <c r="G10" s="62"/>
    </row>
    <row r="11" spans="2:7" ht="30" customHeight="1" x14ac:dyDescent="0.35">
      <c r="B11" s="60" t="s">
        <v>12</v>
      </c>
      <c r="C11" s="60"/>
      <c r="D11" s="60"/>
      <c r="E11" s="60"/>
      <c r="F11" s="60"/>
      <c r="G11" s="60"/>
    </row>
    <row r="12" spans="2:7" ht="30" customHeight="1" x14ac:dyDescent="0.35">
      <c r="B12" s="60" t="s">
        <v>13</v>
      </c>
      <c r="C12" s="60"/>
      <c r="D12" s="60"/>
      <c r="E12" s="60"/>
      <c r="F12" s="60"/>
      <c r="G12" s="60"/>
    </row>
    <row r="13" spans="2:7" ht="30" customHeight="1" x14ac:dyDescent="0.35">
      <c r="B13" s="60" t="s">
        <v>14</v>
      </c>
      <c r="C13" s="60"/>
      <c r="D13" s="60"/>
      <c r="E13" s="60"/>
      <c r="F13" s="60"/>
      <c r="G13" s="60"/>
    </row>
    <row r="14" spans="2:7" ht="30" customHeight="1" x14ac:dyDescent="0.35">
      <c r="B14" s="60" t="s">
        <v>15</v>
      </c>
      <c r="C14" s="60"/>
      <c r="D14" s="60"/>
      <c r="E14" s="60"/>
      <c r="F14" s="60"/>
      <c r="G14" s="60"/>
    </row>
    <row r="16" spans="2:7" ht="16" x14ac:dyDescent="0.4">
      <c r="B16" s="62" t="s">
        <v>16</v>
      </c>
      <c r="C16" s="62"/>
      <c r="D16" s="62"/>
      <c r="E16" s="62"/>
      <c r="F16" s="62"/>
      <c r="G16" s="62"/>
    </row>
    <row r="17" spans="2:7" ht="27.75" customHeight="1" x14ac:dyDescent="0.35">
      <c r="B17" s="52" t="s">
        <v>576</v>
      </c>
      <c r="C17" s="61" t="s">
        <v>17</v>
      </c>
      <c r="D17" s="61"/>
      <c r="E17" s="61"/>
      <c r="F17" s="61"/>
      <c r="G17" s="61"/>
    </row>
    <row r="18" spans="2:7" ht="27.75" customHeight="1" x14ac:dyDescent="0.35">
      <c r="B18" s="52" t="s">
        <v>577</v>
      </c>
      <c r="C18" s="61" t="s">
        <v>18</v>
      </c>
      <c r="D18" s="61"/>
      <c r="E18" s="61"/>
      <c r="F18" s="61"/>
      <c r="G18" s="61"/>
    </row>
    <row r="19" spans="2:7" ht="27.75" customHeight="1" x14ac:dyDescent="0.35">
      <c r="B19" s="52" t="s">
        <v>578</v>
      </c>
      <c r="C19" s="61" t="s">
        <v>19</v>
      </c>
      <c r="D19" s="61"/>
      <c r="E19" s="61"/>
      <c r="F19" s="61"/>
      <c r="G19" s="61"/>
    </row>
    <row r="20" spans="2:7" ht="27.75" customHeight="1" x14ac:dyDescent="0.35">
      <c r="B20" s="52" t="s">
        <v>579</v>
      </c>
      <c r="C20" s="61" t="s">
        <v>20</v>
      </c>
      <c r="D20" s="61"/>
      <c r="E20" s="61"/>
      <c r="F20" s="61"/>
      <c r="G20" s="61"/>
    </row>
    <row r="21" spans="2:7" ht="27.75" customHeight="1" x14ac:dyDescent="0.35">
      <c r="B21" s="52" t="s">
        <v>21</v>
      </c>
      <c r="C21" s="61" t="s">
        <v>22</v>
      </c>
      <c r="D21" s="61"/>
      <c r="E21" s="61"/>
      <c r="F21" s="61"/>
      <c r="G21" s="61"/>
    </row>
  </sheetData>
  <sheetProtection sheet="1" objects="1" scenarios="1"/>
  <mergeCells count="17">
    <mergeCell ref="C19:G19"/>
    <mergeCell ref="C20:G20"/>
    <mergeCell ref="C21:G21"/>
    <mergeCell ref="B13:G13"/>
    <mergeCell ref="B14:G14"/>
    <mergeCell ref="B16:G16"/>
    <mergeCell ref="C17:G17"/>
    <mergeCell ref="C18:G18"/>
    <mergeCell ref="C7:G7"/>
    <mergeCell ref="C8:G8"/>
    <mergeCell ref="B10:G10"/>
    <mergeCell ref="B11:G11"/>
    <mergeCell ref="B12:G12"/>
    <mergeCell ref="B2:G2"/>
    <mergeCell ref="C4:G4"/>
    <mergeCell ref="C5:G5"/>
    <mergeCell ref="C6:G6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B2:X85"/>
  <sheetViews>
    <sheetView showGridLines="0" zoomScaleNormal="100" workbookViewId="0">
      <selection activeCell="D4" sqref="D4"/>
    </sheetView>
  </sheetViews>
  <sheetFormatPr baseColWidth="10" defaultColWidth="8.6328125" defaultRowHeight="12" x14ac:dyDescent="0.3"/>
  <cols>
    <col min="1" max="1" width="8.6328125" style="58"/>
    <col min="2" max="2" width="16" style="58" customWidth="1"/>
    <col min="3" max="3" width="6" style="58" customWidth="1"/>
    <col min="4" max="4" width="30" style="58" customWidth="1"/>
    <col min="5" max="5" width="46" style="58" customWidth="1"/>
    <col min="6" max="6" width="16" style="58" customWidth="1"/>
    <col min="7" max="7" width="40" style="58" customWidth="1"/>
    <col min="8" max="11" width="9" style="58" customWidth="1"/>
    <col min="12" max="15" width="6" style="58" customWidth="1"/>
    <col min="16" max="17" width="10" style="58" customWidth="1"/>
    <col min="18" max="18" width="11" style="58" customWidth="1"/>
    <col min="19" max="19" width="12" style="58" customWidth="1"/>
    <col min="20" max="20" width="16" style="58" customWidth="1"/>
    <col min="21" max="22" width="42" style="58" customWidth="1"/>
    <col min="23" max="23" width="22" style="58" customWidth="1"/>
    <col min="24" max="24" width="16" style="58" customWidth="1"/>
    <col min="25" max="16384" width="8.6328125" style="58"/>
  </cols>
  <sheetData>
    <row r="2" spans="2:24" ht="24" customHeight="1" x14ac:dyDescent="0.3">
      <c r="B2" s="57" t="s">
        <v>23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</row>
    <row r="3" spans="2:24" ht="30" customHeight="1" x14ac:dyDescent="0.3">
      <c r="B3" s="55" t="s">
        <v>24</v>
      </c>
      <c r="C3" s="55" t="s">
        <v>25</v>
      </c>
      <c r="D3" s="55" t="s">
        <v>26</v>
      </c>
      <c r="E3" s="55" t="s">
        <v>27</v>
      </c>
      <c r="F3" s="55" t="s">
        <v>28</v>
      </c>
      <c r="G3" s="55" t="s">
        <v>29</v>
      </c>
      <c r="H3" s="55" t="s">
        <v>30</v>
      </c>
      <c r="I3" s="55" t="s">
        <v>31</v>
      </c>
      <c r="J3" s="55" t="s">
        <v>32</v>
      </c>
      <c r="K3" s="55" t="s">
        <v>33</v>
      </c>
      <c r="L3" s="55" t="s">
        <v>34</v>
      </c>
      <c r="M3" s="55" t="s">
        <v>35</v>
      </c>
      <c r="N3" s="55" t="s">
        <v>36</v>
      </c>
      <c r="O3" s="55" t="s">
        <v>37</v>
      </c>
      <c r="P3" s="55" t="s">
        <v>38</v>
      </c>
      <c r="Q3" s="55" t="s">
        <v>39</v>
      </c>
      <c r="R3" s="55" t="s">
        <v>40</v>
      </c>
      <c r="S3" s="55" t="s">
        <v>41</v>
      </c>
      <c r="T3" s="55" t="s">
        <v>42</v>
      </c>
      <c r="U3" s="55" t="s">
        <v>43</v>
      </c>
      <c r="V3" s="55" t="s">
        <v>44</v>
      </c>
      <c r="W3" s="55" t="s">
        <v>45</v>
      </c>
      <c r="X3" s="55" t="s">
        <v>46</v>
      </c>
    </row>
    <row r="4" spans="2:24" ht="45.75" customHeight="1" x14ac:dyDescent="0.3">
      <c r="B4" s="35" t="s">
        <v>47</v>
      </c>
      <c r="C4" s="35" t="s">
        <v>48</v>
      </c>
      <c r="D4" s="35" t="s">
        <v>49</v>
      </c>
      <c r="E4" s="35" t="s">
        <v>50</v>
      </c>
      <c r="F4" s="35" t="s">
        <v>51</v>
      </c>
      <c r="G4" s="35" t="s">
        <v>52</v>
      </c>
      <c r="H4" s="35" t="s">
        <v>53</v>
      </c>
      <c r="I4" s="35" t="s">
        <v>54</v>
      </c>
      <c r="J4" s="35" t="s">
        <v>54</v>
      </c>
      <c r="K4" s="35" t="s">
        <v>55</v>
      </c>
      <c r="L4" s="54">
        <f t="shared" ref="L4:L35" si="0">IF(ISNUMBER(H4),MAX(0,2-(H4-1)*0.5),IF(H4="No",2,IF(H4="Parcial",1,0)))</f>
        <v>1</v>
      </c>
      <c r="M4" s="54">
        <f t="shared" ref="M4:M35" si="1">IF(ISNUMBER(I4),MAX(0,2-(I4-1)*0.5),IF(I4="No",2,IF(I4="Parcial",1,0)))</f>
        <v>0</v>
      </c>
      <c r="N4" s="54">
        <f t="shared" ref="N4:N35" si="2">IF(ISNUMBER(J4),MAX(0,2-(J4-1)*0.5),IF(J4="No",2,IF(J4="Parcial",1,0)))</f>
        <v>0</v>
      </c>
      <c r="O4" s="54">
        <f t="shared" ref="O4:O35" si="3">IF(ISNUMBER(K4),MAX(0,2-(K4-1)*0.5),IF(K4="No",2,IF(K4="Parcial",1,0)))</f>
        <v>2</v>
      </c>
      <c r="P4" s="54">
        <f t="shared" ref="P4:P35" si="4">COUNTIF(L4:O4,"&gt;=1")</f>
        <v>2</v>
      </c>
      <c r="Q4" s="54">
        <f t="shared" ref="Q4:Q35" si="5">SUM(L4:O4)</f>
        <v>3</v>
      </c>
      <c r="R4" s="56" t="str">
        <f t="shared" ref="R4:R35" si="6">IF(Q4&gt;=6,"CRÍTICA",IF(Q4&gt;=4,"ALTA",IF(Q4&gt;=2,"MEDIA","BAJA")))</f>
        <v>MEDIA</v>
      </c>
      <c r="S4" s="54" t="str">
        <f t="shared" ref="S4:S35" si="7">IF(R4="CRÍTICA","0-3 meses",IF(R4="ALTA","3-6 meses",IF(R4="MEDIA","6-9 meses","9-12 meses")))</f>
        <v>6-9 meses</v>
      </c>
      <c r="T4" s="35" t="s">
        <v>56</v>
      </c>
      <c r="U4" s="35" t="s">
        <v>57</v>
      </c>
      <c r="V4" s="35" t="s">
        <v>58</v>
      </c>
      <c r="W4" s="35" t="s">
        <v>59</v>
      </c>
      <c r="X4" s="35" t="s">
        <v>60</v>
      </c>
    </row>
    <row r="5" spans="2:24" ht="45.75" customHeight="1" x14ac:dyDescent="0.3">
      <c r="B5" s="35" t="s">
        <v>47</v>
      </c>
      <c r="C5" s="35" t="s">
        <v>61</v>
      </c>
      <c r="D5" s="35" t="s">
        <v>49</v>
      </c>
      <c r="E5" s="35" t="s">
        <v>62</v>
      </c>
      <c r="F5" s="35" t="s">
        <v>63</v>
      </c>
      <c r="G5" s="35" t="s">
        <v>64</v>
      </c>
      <c r="H5" s="35" t="s">
        <v>54</v>
      </c>
      <c r="I5" s="35" t="s">
        <v>54</v>
      </c>
      <c r="J5" s="35" t="s">
        <v>54</v>
      </c>
      <c r="K5" s="35" t="s">
        <v>53</v>
      </c>
      <c r="L5" s="54">
        <f t="shared" si="0"/>
        <v>0</v>
      </c>
      <c r="M5" s="54">
        <f t="shared" si="1"/>
        <v>0</v>
      </c>
      <c r="N5" s="54">
        <f t="shared" si="2"/>
        <v>0</v>
      </c>
      <c r="O5" s="54">
        <f t="shared" si="3"/>
        <v>1</v>
      </c>
      <c r="P5" s="54">
        <f t="shared" si="4"/>
        <v>1</v>
      </c>
      <c r="Q5" s="54">
        <f t="shared" si="5"/>
        <v>1</v>
      </c>
      <c r="R5" s="56" t="str">
        <f t="shared" si="6"/>
        <v>BAJA</v>
      </c>
      <c r="S5" s="54" t="str">
        <f t="shared" si="7"/>
        <v>9-12 meses</v>
      </c>
      <c r="T5" s="35" t="s">
        <v>65</v>
      </c>
      <c r="U5" s="35" t="s">
        <v>66</v>
      </c>
      <c r="V5" s="35" t="s">
        <v>67</v>
      </c>
      <c r="W5" s="35" t="s">
        <v>68</v>
      </c>
      <c r="X5" s="35" t="s">
        <v>60</v>
      </c>
    </row>
    <row r="6" spans="2:24" ht="45.75" customHeight="1" x14ac:dyDescent="0.3">
      <c r="B6" s="35" t="s">
        <v>47</v>
      </c>
      <c r="C6" s="35" t="s">
        <v>69</v>
      </c>
      <c r="D6" s="35" t="s">
        <v>49</v>
      </c>
      <c r="E6" s="35" t="s">
        <v>70</v>
      </c>
      <c r="F6" s="35" t="s">
        <v>71</v>
      </c>
      <c r="G6" s="35" t="s">
        <v>72</v>
      </c>
      <c r="H6" s="35" t="s">
        <v>54</v>
      </c>
      <c r="I6" s="35" t="s">
        <v>54</v>
      </c>
      <c r="J6" s="35" t="s">
        <v>53</v>
      </c>
      <c r="K6" s="35" t="s">
        <v>55</v>
      </c>
      <c r="L6" s="54">
        <f t="shared" si="0"/>
        <v>0</v>
      </c>
      <c r="M6" s="54">
        <f t="shared" si="1"/>
        <v>0</v>
      </c>
      <c r="N6" s="54">
        <f t="shared" si="2"/>
        <v>1</v>
      </c>
      <c r="O6" s="54">
        <f t="shared" si="3"/>
        <v>2</v>
      </c>
      <c r="P6" s="54">
        <f t="shared" si="4"/>
        <v>2</v>
      </c>
      <c r="Q6" s="54">
        <f t="shared" si="5"/>
        <v>3</v>
      </c>
      <c r="R6" s="56" t="str">
        <f t="shared" si="6"/>
        <v>MEDIA</v>
      </c>
      <c r="S6" s="54" t="str">
        <f t="shared" si="7"/>
        <v>6-9 meses</v>
      </c>
      <c r="T6" s="35" t="s">
        <v>73</v>
      </c>
      <c r="U6" s="35" t="s">
        <v>74</v>
      </c>
      <c r="V6" s="35" t="s">
        <v>75</v>
      </c>
      <c r="W6" s="35" t="s">
        <v>76</v>
      </c>
      <c r="X6" s="35" t="s">
        <v>60</v>
      </c>
    </row>
    <row r="7" spans="2:24" ht="45.75" customHeight="1" x14ac:dyDescent="0.3">
      <c r="B7" s="35" t="s">
        <v>47</v>
      </c>
      <c r="C7" s="35" t="s">
        <v>77</v>
      </c>
      <c r="D7" s="35" t="s">
        <v>49</v>
      </c>
      <c r="E7" s="35" t="s">
        <v>78</v>
      </c>
      <c r="F7" s="35" t="s">
        <v>79</v>
      </c>
      <c r="G7" s="35" t="s">
        <v>80</v>
      </c>
      <c r="H7" s="35" t="s">
        <v>55</v>
      </c>
      <c r="I7" s="35" t="s">
        <v>55</v>
      </c>
      <c r="J7" s="35" t="s">
        <v>53</v>
      </c>
      <c r="K7" s="35" t="s">
        <v>55</v>
      </c>
      <c r="L7" s="54">
        <f t="shared" si="0"/>
        <v>2</v>
      </c>
      <c r="M7" s="54">
        <f t="shared" si="1"/>
        <v>2</v>
      </c>
      <c r="N7" s="54">
        <f t="shared" si="2"/>
        <v>1</v>
      </c>
      <c r="O7" s="54">
        <f t="shared" si="3"/>
        <v>2</v>
      </c>
      <c r="P7" s="54">
        <f t="shared" si="4"/>
        <v>4</v>
      </c>
      <c r="Q7" s="54">
        <f t="shared" si="5"/>
        <v>7</v>
      </c>
      <c r="R7" s="56" t="str">
        <f t="shared" si="6"/>
        <v>CRÍTICA</v>
      </c>
      <c r="S7" s="54" t="str">
        <f t="shared" si="7"/>
        <v>0-3 meses</v>
      </c>
      <c r="T7" s="35" t="s">
        <v>81</v>
      </c>
      <c r="U7" s="35" t="s">
        <v>82</v>
      </c>
      <c r="V7" s="35" t="s">
        <v>83</v>
      </c>
      <c r="W7" s="35" t="s">
        <v>84</v>
      </c>
      <c r="X7" s="35" t="s">
        <v>60</v>
      </c>
    </row>
    <row r="8" spans="2:24" ht="45.75" customHeight="1" x14ac:dyDescent="0.3">
      <c r="B8" s="35" t="s">
        <v>47</v>
      </c>
      <c r="C8" s="35" t="s">
        <v>85</v>
      </c>
      <c r="D8" s="35" t="s">
        <v>86</v>
      </c>
      <c r="E8" s="35" t="s">
        <v>87</v>
      </c>
      <c r="F8" s="35" t="s">
        <v>88</v>
      </c>
      <c r="G8" s="35" t="s">
        <v>89</v>
      </c>
      <c r="H8" s="35" t="s">
        <v>54</v>
      </c>
      <c r="I8" s="35" t="s">
        <v>55</v>
      </c>
      <c r="J8" s="35" t="s">
        <v>53</v>
      </c>
      <c r="K8" s="35" t="s">
        <v>55</v>
      </c>
      <c r="L8" s="54">
        <f t="shared" si="0"/>
        <v>0</v>
      </c>
      <c r="M8" s="54">
        <f t="shared" si="1"/>
        <v>2</v>
      </c>
      <c r="N8" s="54">
        <f t="shared" si="2"/>
        <v>1</v>
      </c>
      <c r="O8" s="54">
        <f t="shared" si="3"/>
        <v>2</v>
      </c>
      <c r="P8" s="54">
        <f t="shared" si="4"/>
        <v>3</v>
      </c>
      <c r="Q8" s="54">
        <f t="shared" si="5"/>
        <v>5</v>
      </c>
      <c r="R8" s="56" t="str">
        <f t="shared" si="6"/>
        <v>ALTA</v>
      </c>
      <c r="S8" s="54" t="str">
        <f t="shared" si="7"/>
        <v>3-6 meses</v>
      </c>
      <c r="T8" s="35" t="s">
        <v>90</v>
      </c>
      <c r="U8" s="35" t="s">
        <v>91</v>
      </c>
      <c r="V8" s="35" t="s">
        <v>92</v>
      </c>
      <c r="W8" s="35" t="s">
        <v>93</v>
      </c>
      <c r="X8" s="35" t="s">
        <v>60</v>
      </c>
    </row>
    <row r="9" spans="2:24" ht="45.75" customHeight="1" x14ac:dyDescent="0.3">
      <c r="B9" s="35" t="s">
        <v>47</v>
      </c>
      <c r="C9" s="35" t="s">
        <v>94</v>
      </c>
      <c r="D9" s="35" t="s">
        <v>86</v>
      </c>
      <c r="E9" s="35" t="s">
        <v>95</v>
      </c>
      <c r="F9" s="35" t="s">
        <v>96</v>
      </c>
      <c r="G9" s="35" t="s">
        <v>89</v>
      </c>
      <c r="H9" s="35" t="s">
        <v>54</v>
      </c>
      <c r="I9" s="35" t="s">
        <v>55</v>
      </c>
      <c r="J9" s="35" t="s">
        <v>53</v>
      </c>
      <c r="K9" s="35" t="s">
        <v>55</v>
      </c>
      <c r="L9" s="54">
        <f t="shared" si="0"/>
        <v>0</v>
      </c>
      <c r="M9" s="54">
        <f t="shared" si="1"/>
        <v>2</v>
      </c>
      <c r="N9" s="54">
        <f t="shared" si="2"/>
        <v>1</v>
      </c>
      <c r="O9" s="54">
        <f t="shared" si="3"/>
        <v>2</v>
      </c>
      <c r="P9" s="54">
        <f t="shared" si="4"/>
        <v>3</v>
      </c>
      <c r="Q9" s="54">
        <f t="shared" si="5"/>
        <v>5</v>
      </c>
      <c r="R9" s="56" t="str">
        <f t="shared" si="6"/>
        <v>ALTA</v>
      </c>
      <c r="S9" s="54" t="str">
        <f t="shared" si="7"/>
        <v>3-6 meses</v>
      </c>
      <c r="T9" s="35" t="s">
        <v>90</v>
      </c>
      <c r="U9" s="35" t="s">
        <v>97</v>
      </c>
      <c r="V9" s="35" t="s">
        <v>98</v>
      </c>
      <c r="W9" s="35" t="s">
        <v>99</v>
      </c>
      <c r="X9" s="35" t="s">
        <v>60</v>
      </c>
    </row>
    <row r="10" spans="2:24" ht="45.75" customHeight="1" x14ac:dyDescent="0.3">
      <c r="B10" s="35" t="s">
        <v>47</v>
      </c>
      <c r="C10" s="35" t="s">
        <v>100</v>
      </c>
      <c r="D10" s="35" t="s">
        <v>86</v>
      </c>
      <c r="E10" s="35" t="s">
        <v>101</v>
      </c>
      <c r="F10" s="35" t="s">
        <v>102</v>
      </c>
      <c r="G10" s="35" t="s">
        <v>103</v>
      </c>
      <c r="H10" s="35" t="s">
        <v>53</v>
      </c>
      <c r="I10" s="35" t="s">
        <v>54</v>
      </c>
      <c r="J10" s="35" t="s">
        <v>55</v>
      </c>
      <c r="K10" s="35" t="s">
        <v>53</v>
      </c>
      <c r="L10" s="54">
        <f t="shared" si="0"/>
        <v>1</v>
      </c>
      <c r="M10" s="54">
        <f t="shared" si="1"/>
        <v>0</v>
      </c>
      <c r="N10" s="54">
        <f t="shared" si="2"/>
        <v>2</v>
      </c>
      <c r="O10" s="54">
        <f t="shared" si="3"/>
        <v>1</v>
      </c>
      <c r="P10" s="54">
        <f t="shared" si="4"/>
        <v>3</v>
      </c>
      <c r="Q10" s="54">
        <f t="shared" si="5"/>
        <v>4</v>
      </c>
      <c r="R10" s="56" t="str">
        <f t="shared" si="6"/>
        <v>ALTA</v>
      </c>
      <c r="S10" s="54" t="str">
        <f t="shared" si="7"/>
        <v>3-6 meses</v>
      </c>
      <c r="T10" s="35" t="s">
        <v>104</v>
      </c>
      <c r="U10" s="35" t="s">
        <v>105</v>
      </c>
      <c r="V10" s="35" t="s">
        <v>106</v>
      </c>
      <c r="W10" s="35" t="s">
        <v>107</v>
      </c>
      <c r="X10" s="35" t="s">
        <v>60</v>
      </c>
    </row>
    <row r="11" spans="2:24" ht="45.75" customHeight="1" x14ac:dyDescent="0.3">
      <c r="B11" s="35" t="s">
        <v>47</v>
      </c>
      <c r="C11" s="35" t="s">
        <v>108</v>
      </c>
      <c r="D11" s="35" t="s">
        <v>86</v>
      </c>
      <c r="E11" s="35" t="s">
        <v>109</v>
      </c>
      <c r="F11" s="35" t="s">
        <v>110</v>
      </c>
      <c r="G11" s="35" t="s">
        <v>89</v>
      </c>
      <c r="H11" s="35" t="s">
        <v>55</v>
      </c>
      <c r="I11" s="35" t="s">
        <v>54</v>
      </c>
      <c r="J11" s="35" t="s">
        <v>55</v>
      </c>
      <c r="K11" s="35" t="s">
        <v>53</v>
      </c>
      <c r="L11" s="54">
        <f t="shared" si="0"/>
        <v>2</v>
      </c>
      <c r="M11" s="54">
        <f t="shared" si="1"/>
        <v>0</v>
      </c>
      <c r="N11" s="54">
        <f t="shared" si="2"/>
        <v>2</v>
      </c>
      <c r="O11" s="54">
        <f t="shared" si="3"/>
        <v>1</v>
      </c>
      <c r="P11" s="54">
        <f t="shared" si="4"/>
        <v>3</v>
      </c>
      <c r="Q11" s="54">
        <f t="shared" si="5"/>
        <v>5</v>
      </c>
      <c r="R11" s="56" t="str">
        <f t="shared" si="6"/>
        <v>ALTA</v>
      </c>
      <c r="S11" s="54" t="str">
        <f t="shared" si="7"/>
        <v>3-6 meses</v>
      </c>
      <c r="T11" s="35" t="s">
        <v>104</v>
      </c>
      <c r="U11" s="35" t="s">
        <v>111</v>
      </c>
      <c r="V11" s="35" t="s">
        <v>112</v>
      </c>
      <c r="W11" s="35" t="s">
        <v>113</v>
      </c>
      <c r="X11" s="35" t="s">
        <v>60</v>
      </c>
    </row>
    <row r="12" spans="2:24" ht="45.75" customHeight="1" x14ac:dyDescent="0.3">
      <c r="B12" s="35" t="s">
        <v>47</v>
      </c>
      <c r="C12" s="35" t="s">
        <v>114</v>
      </c>
      <c r="D12" s="35" t="s">
        <v>86</v>
      </c>
      <c r="E12" s="35" t="s">
        <v>115</v>
      </c>
      <c r="F12" s="35" t="s">
        <v>116</v>
      </c>
      <c r="G12" s="35" t="s">
        <v>89</v>
      </c>
      <c r="H12" s="35" t="s">
        <v>55</v>
      </c>
      <c r="I12" s="35" t="s">
        <v>55</v>
      </c>
      <c r="J12" s="35" t="s">
        <v>55</v>
      </c>
      <c r="K12" s="35" t="s">
        <v>55</v>
      </c>
      <c r="L12" s="54">
        <f t="shared" si="0"/>
        <v>2</v>
      </c>
      <c r="M12" s="54">
        <f t="shared" si="1"/>
        <v>2</v>
      </c>
      <c r="N12" s="54">
        <f t="shared" si="2"/>
        <v>2</v>
      </c>
      <c r="O12" s="54">
        <f t="shared" si="3"/>
        <v>2</v>
      </c>
      <c r="P12" s="54">
        <f t="shared" si="4"/>
        <v>4</v>
      </c>
      <c r="Q12" s="54">
        <f t="shared" si="5"/>
        <v>8</v>
      </c>
      <c r="R12" s="56" t="str">
        <f t="shared" si="6"/>
        <v>CRÍTICA</v>
      </c>
      <c r="S12" s="54" t="str">
        <f t="shared" si="7"/>
        <v>0-3 meses</v>
      </c>
      <c r="T12" s="35" t="s">
        <v>81</v>
      </c>
      <c r="U12" s="35" t="s">
        <v>117</v>
      </c>
      <c r="V12" s="35" t="s">
        <v>118</v>
      </c>
      <c r="W12" s="35" t="s">
        <v>119</v>
      </c>
      <c r="X12" s="35" t="s">
        <v>60</v>
      </c>
    </row>
    <row r="13" spans="2:24" ht="45.75" customHeight="1" x14ac:dyDescent="0.3">
      <c r="B13" s="35" t="s">
        <v>47</v>
      </c>
      <c r="C13" s="35" t="s">
        <v>120</v>
      </c>
      <c r="D13" s="35" t="s">
        <v>121</v>
      </c>
      <c r="E13" s="35" t="s">
        <v>122</v>
      </c>
      <c r="F13" s="35" t="s">
        <v>123</v>
      </c>
      <c r="G13" s="35" t="s">
        <v>89</v>
      </c>
      <c r="H13" s="35" t="s">
        <v>53</v>
      </c>
      <c r="I13" s="35" t="s">
        <v>54</v>
      </c>
      <c r="J13" s="35" t="s">
        <v>53</v>
      </c>
      <c r="K13" s="35" t="s">
        <v>55</v>
      </c>
      <c r="L13" s="54">
        <f t="shared" si="0"/>
        <v>1</v>
      </c>
      <c r="M13" s="54">
        <f t="shared" si="1"/>
        <v>0</v>
      </c>
      <c r="N13" s="54">
        <f t="shared" si="2"/>
        <v>1</v>
      </c>
      <c r="O13" s="54">
        <f t="shared" si="3"/>
        <v>2</v>
      </c>
      <c r="P13" s="54">
        <f t="shared" si="4"/>
        <v>3</v>
      </c>
      <c r="Q13" s="54">
        <f t="shared" si="5"/>
        <v>4</v>
      </c>
      <c r="R13" s="56" t="str">
        <f t="shared" si="6"/>
        <v>ALTA</v>
      </c>
      <c r="S13" s="54" t="str">
        <f t="shared" si="7"/>
        <v>3-6 meses</v>
      </c>
      <c r="T13" s="35" t="s">
        <v>104</v>
      </c>
      <c r="U13" s="35" t="s">
        <v>124</v>
      </c>
      <c r="V13" s="35" t="s">
        <v>125</v>
      </c>
      <c r="W13" s="35" t="s">
        <v>99</v>
      </c>
      <c r="X13" s="35" t="s">
        <v>60</v>
      </c>
    </row>
    <row r="14" spans="2:24" ht="45.75" customHeight="1" x14ac:dyDescent="0.3">
      <c r="B14" s="35" t="s">
        <v>47</v>
      </c>
      <c r="C14" s="35" t="s">
        <v>126</v>
      </c>
      <c r="D14" s="35" t="s">
        <v>121</v>
      </c>
      <c r="E14" s="35" t="s">
        <v>127</v>
      </c>
      <c r="F14" s="35" t="s">
        <v>128</v>
      </c>
      <c r="G14" s="35" t="s">
        <v>89</v>
      </c>
      <c r="H14" s="35" t="s">
        <v>53</v>
      </c>
      <c r="I14" s="35" t="s">
        <v>54</v>
      </c>
      <c r="J14" s="35" t="s">
        <v>53</v>
      </c>
      <c r="K14" s="35" t="s">
        <v>55</v>
      </c>
      <c r="L14" s="54">
        <f t="shared" si="0"/>
        <v>1</v>
      </c>
      <c r="M14" s="54">
        <f t="shared" si="1"/>
        <v>0</v>
      </c>
      <c r="N14" s="54">
        <f t="shared" si="2"/>
        <v>1</v>
      </c>
      <c r="O14" s="54">
        <f t="shared" si="3"/>
        <v>2</v>
      </c>
      <c r="P14" s="54">
        <f t="shared" si="4"/>
        <v>3</v>
      </c>
      <c r="Q14" s="54">
        <f t="shared" si="5"/>
        <v>4</v>
      </c>
      <c r="R14" s="56" t="str">
        <f t="shared" si="6"/>
        <v>ALTA</v>
      </c>
      <c r="S14" s="54" t="str">
        <f t="shared" si="7"/>
        <v>3-6 meses</v>
      </c>
      <c r="T14" s="35" t="s">
        <v>104</v>
      </c>
      <c r="U14" s="35" t="s">
        <v>129</v>
      </c>
      <c r="V14" s="35" t="s">
        <v>130</v>
      </c>
      <c r="W14" s="35" t="s">
        <v>99</v>
      </c>
      <c r="X14" s="35" t="s">
        <v>60</v>
      </c>
    </row>
    <row r="15" spans="2:24" ht="45.75" customHeight="1" x14ac:dyDescent="0.3">
      <c r="B15" s="35" t="s">
        <v>47</v>
      </c>
      <c r="C15" s="35" t="s">
        <v>131</v>
      </c>
      <c r="D15" s="35" t="s">
        <v>121</v>
      </c>
      <c r="E15" s="35" t="s">
        <v>132</v>
      </c>
      <c r="F15" s="35" t="s">
        <v>133</v>
      </c>
      <c r="G15" s="35" t="s">
        <v>89</v>
      </c>
      <c r="H15" s="35" t="s">
        <v>55</v>
      </c>
      <c r="I15" s="35" t="s">
        <v>55</v>
      </c>
      <c r="J15" s="35" t="s">
        <v>53</v>
      </c>
      <c r="K15" s="35" t="s">
        <v>55</v>
      </c>
      <c r="L15" s="54">
        <f t="shared" si="0"/>
        <v>2</v>
      </c>
      <c r="M15" s="54">
        <f t="shared" si="1"/>
        <v>2</v>
      </c>
      <c r="N15" s="54">
        <f t="shared" si="2"/>
        <v>1</v>
      </c>
      <c r="O15" s="54">
        <f t="shared" si="3"/>
        <v>2</v>
      </c>
      <c r="P15" s="54">
        <f t="shared" si="4"/>
        <v>4</v>
      </c>
      <c r="Q15" s="54">
        <f t="shared" si="5"/>
        <v>7</v>
      </c>
      <c r="R15" s="56" t="str">
        <f t="shared" si="6"/>
        <v>CRÍTICA</v>
      </c>
      <c r="S15" s="54" t="str">
        <f t="shared" si="7"/>
        <v>0-3 meses</v>
      </c>
      <c r="T15" s="35" t="s">
        <v>81</v>
      </c>
      <c r="U15" s="35" t="s">
        <v>134</v>
      </c>
      <c r="V15" s="35" t="s">
        <v>135</v>
      </c>
      <c r="W15" s="35" t="s">
        <v>136</v>
      </c>
      <c r="X15" s="35" t="s">
        <v>60</v>
      </c>
    </row>
    <row r="16" spans="2:24" ht="45.75" customHeight="1" x14ac:dyDescent="0.3">
      <c r="B16" s="35" t="s">
        <v>47</v>
      </c>
      <c r="C16" s="35" t="s">
        <v>137</v>
      </c>
      <c r="D16" s="35" t="s">
        <v>121</v>
      </c>
      <c r="E16" s="35" t="s">
        <v>138</v>
      </c>
      <c r="F16" s="35" t="s">
        <v>139</v>
      </c>
      <c r="G16" s="35" t="s">
        <v>89</v>
      </c>
      <c r="H16" s="35" t="s">
        <v>55</v>
      </c>
      <c r="I16" s="35" t="s">
        <v>55</v>
      </c>
      <c r="J16" s="35" t="s">
        <v>53</v>
      </c>
      <c r="K16" s="35" t="s">
        <v>55</v>
      </c>
      <c r="L16" s="54">
        <f t="shared" si="0"/>
        <v>2</v>
      </c>
      <c r="M16" s="54">
        <f t="shared" si="1"/>
        <v>2</v>
      </c>
      <c r="N16" s="54">
        <f t="shared" si="2"/>
        <v>1</v>
      </c>
      <c r="O16" s="54">
        <f t="shared" si="3"/>
        <v>2</v>
      </c>
      <c r="P16" s="54">
        <f t="shared" si="4"/>
        <v>4</v>
      </c>
      <c r="Q16" s="54">
        <f t="shared" si="5"/>
        <v>7</v>
      </c>
      <c r="R16" s="56" t="str">
        <f t="shared" si="6"/>
        <v>CRÍTICA</v>
      </c>
      <c r="S16" s="54" t="str">
        <f t="shared" si="7"/>
        <v>0-3 meses</v>
      </c>
      <c r="T16" s="35" t="s">
        <v>81</v>
      </c>
      <c r="U16" s="35" t="s">
        <v>140</v>
      </c>
      <c r="V16" s="35" t="s">
        <v>141</v>
      </c>
      <c r="W16" s="35" t="s">
        <v>99</v>
      </c>
      <c r="X16" s="35" t="s">
        <v>60</v>
      </c>
    </row>
    <row r="17" spans="2:24" ht="45.75" customHeight="1" x14ac:dyDescent="0.3">
      <c r="B17" s="35" t="s">
        <v>47</v>
      </c>
      <c r="C17" s="35" t="s">
        <v>142</v>
      </c>
      <c r="D17" s="35" t="s">
        <v>121</v>
      </c>
      <c r="E17" s="35" t="s">
        <v>143</v>
      </c>
      <c r="F17" s="35" t="s">
        <v>144</v>
      </c>
      <c r="G17" s="35" t="s">
        <v>145</v>
      </c>
      <c r="H17" s="35" t="s">
        <v>55</v>
      </c>
      <c r="I17" s="35" t="s">
        <v>53</v>
      </c>
      <c r="J17" s="35" t="s">
        <v>53</v>
      </c>
      <c r="K17" s="35" t="s">
        <v>54</v>
      </c>
      <c r="L17" s="54">
        <f t="shared" si="0"/>
        <v>2</v>
      </c>
      <c r="M17" s="54">
        <f t="shared" si="1"/>
        <v>1</v>
      </c>
      <c r="N17" s="54">
        <f t="shared" si="2"/>
        <v>1</v>
      </c>
      <c r="O17" s="54">
        <f t="shared" si="3"/>
        <v>0</v>
      </c>
      <c r="P17" s="54">
        <f t="shared" si="4"/>
        <v>3</v>
      </c>
      <c r="Q17" s="54">
        <f t="shared" si="5"/>
        <v>4</v>
      </c>
      <c r="R17" s="56" t="str">
        <f t="shared" si="6"/>
        <v>ALTA</v>
      </c>
      <c r="S17" s="54" t="str">
        <f t="shared" si="7"/>
        <v>3-6 meses</v>
      </c>
      <c r="T17" s="35" t="s">
        <v>146</v>
      </c>
      <c r="U17" s="35" t="s">
        <v>147</v>
      </c>
      <c r="V17" s="35" t="s">
        <v>148</v>
      </c>
      <c r="W17" s="35" t="s">
        <v>149</v>
      </c>
      <c r="X17" s="35" t="s">
        <v>60</v>
      </c>
    </row>
    <row r="18" spans="2:24" ht="45.75" customHeight="1" x14ac:dyDescent="0.3">
      <c r="B18" s="35" t="s">
        <v>47</v>
      </c>
      <c r="C18" s="35" t="s">
        <v>150</v>
      </c>
      <c r="D18" s="35" t="s">
        <v>151</v>
      </c>
      <c r="E18" s="35" t="s">
        <v>152</v>
      </c>
      <c r="F18" s="35" t="s">
        <v>153</v>
      </c>
      <c r="G18" s="35" t="s">
        <v>154</v>
      </c>
      <c r="H18" s="35" t="s">
        <v>55</v>
      </c>
      <c r="I18" s="35" t="s">
        <v>55</v>
      </c>
      <c r="J18" s="35" t="s">
        <v>55</v>
      </c>
      <c r="K18" s="35" t="s">
        <v>54</v>
      </c>
      <c r="L18" s="54">
        <f t="shared" si="0"/>
        <v>2</v>
      </c>
      <c r="M18" s="54">
        <f t="shared" si="1"/>
        <v>2</v>
      </c>
      <c r="N18" s="54">
        <f t="shared" si="2"/>
        <v>2</v>
      </c>
      <c r="O18" s="54">
        <f t="shared" si="3"/>
        <v>0</v>
      </c>
      <c r="P18" s="54">
        <f t="shared" si="4"/>
        <v>3</v>
      </c>
      <c r="Q18" s="54">
        <f t="shared" si="5"/>
        <v>6</v>
      </c>
      <c r="R18" s="56" t="str">
        <f t="shared" si="6"/>
        <v>CRÍTICA</v>
      </c>
      <c r="S18" s="54" t="str">
        <f t="shared" si="7"/>
        <v>0-3 meses</v>
      </c>
      <c r="T18" s="35" t="s">
        <v>146</v>
      </c>
      <c r="U18" s="35" t="s">
        <v>155</v>
      </c>
      <c r="V18" s="35" t="s">
        <v>156</v>
      </c>
      <c r="W18" s="35" t="s">
        <v>157</v>
      </c>
      <c r="X18" s="35" t="s">
        <v>60</v>
      </c>
    </row>
    <row r="19" spans="2:24" ht="45.75" customHeight="1" x14ac:dyDescent="0.3">
      <c r="B19" s="35" t="s">
        <v>47</v>
      </c>
      <c r="C19" s="35" t="s">
        <v>158</v>
      </c>
      <c r="D19" s="35" t="s">
        <v>151</v>
      </c>
      <c r="E19" s="35" t="s">
        <v>159</v>
      </c>
      <c r="F19" s="35" t="s">
        <v>160</v>
      </c>
      <c r="G19" s="35" t="s">
        <v>161</v>
      </c>
      <c r="H19" s="35" t="s">
        <v>55</v>
      </c>
      <c r="I19" s="35" t="s">
        <v>55</v>
      </c>
      <c r="J19" s="35" t="s">
        <v>55</v>
      </c>
      <c r="K19" s="35" t="s">
        <v>55</v>
      </c>
      <c r="L19" s="54">
        <f t="shared" si="0"/>
        <v>2</v>
      </c>
      <c r="M19" s="54">
        <f t="shared" si="1"/>
        <v>2</v>
      </c>
      <c r="N19" s="54">
        <f t="shared" si="2"/>
        <v>2</v>
      </c>
      <c r="O19" s="54">
        <f t="shared" si="3"/>
        <v>2</v>
      </c>
      <c r="P19" s="54">
        <f t="shared" si="4"/>
        <v>4</v>
      </c>
      <c r="Q19" s="54">
        <f t="shared" si="5"/>
        <v>8</v>
      </c>
      <c r="R19" s="56" t="str">
        <f t="shared" si="6"/>
        <v>CRÍTICA</v>
      </c>
      <c r="S19" s="54" t="str">
        <f t="shared" si="7"/>
        <v>0-3 meses</v>
      </c>
      <c r="T19" s="35" t="s">
        <v>81</v>
      </c>
      <c r="U19" s="35" t="s">
        <v>162</v>
      </c>
      <c r="V19" s="35" t="s">
        <v>163</v>
      </c>
      <c r="W19" s="35" t="s">
        <v>164</v>
      </c>
      <c r="X19" s="35" t="s">
        <v>60</v>
      </c>
    </row>
    <row r="20" spans="2:24" ht="45.75" customHeight="1" x14ac:dyDescent="0.3">
      <c r="B20" s="35" t="s">
        <v>47</v>
      </c>
      <c r="C20" s="35" t="s">
        <v>165</v>
      </c>
      <c r="D20" s="35" t="s">
        <v>151</v>
      </c>
      <c r="E20" s="35" t="s">
        <v>166</v>
      </c>
      <c r="F20" s="35" t="s">
        <v>167</v>
      </c>
      <c r="G20" s="35" t="s">
        <v>168</v>
      </c>
      <c r="H20" s="35" t="s">
        <v>54</v>
      </c>
      <c r="I20" s="35" t="s">
        <v>54</v>
      </c>
      <c r="J20" s="35" t="s">
        <v>53</v>
      </c>
      <c r="K20" s="35" t="s">
        <v>55</v>
      </c>
      <c r="L20" s="54">
        <f t="shared" si="0"/>
        <v>0</v>
      </c>
      <c r="M20" s="54">
        <f t="shared" si="1"/>
        <v>0</v>
      </c>
      <c r="N20" s="54">
        <f t="shared" si="2"/>
        <v>1</v>
      </c>
      <c r="O20" s="54">
        <f t="shared" si="3"/>
        <v>2</v>
      </c>
      <c r="P20" s="54">
        <f t="shared" si="4"/>
        <v>2</v>
      </c>
      <c r="Q20" s="54">
        <f t="shared" si="5"/>
        <v>3</v>
      </c>
      <c r="R20" s="56" t="str">
        <f t="shared" si="6"/>
        <v>MEDIA</v>
      </c>
      <c r="S20" s="54" t="str">
        <f t="shared" si="7"/>
        <v>6-9 meses</v>
      </c>
      <c r="T20" s="35" t="s">
        <v>73</v>
      </c>
      <c r="U20" s="35" t="s">
        <v>169</v>
      </c>
      <c r="V20" s="35" t="s">
        <v>170</v>
      </c>
      <c r="W20" s="35" t="s">
        <v>171</v>
      </c>
      <c r="X20" s="35" t="s">
        <v>60</v>
      </c>
    </row>
    <row r="21" spans="2:24" ht="45.75" customHeight="1" x14ac:dyDescent="0.3">
      <c r="B21" s="35" t="s">
        <v>47</v>
      </c>
      <c r="C21" s="35" t="s">
        <v>172</v>
      </c>
      <c r="D21" s="35" t="s">
        <v>151</v>
      </c>
      <c r="E21" s="35" t="s">
        <v>173</v>
      </c>
      <c r="F21" s="35" t="s">
        <v>160</v>
      </c>
      <c r="G21" s="35" t="s">
        <v>174</v>
      </c>
      <c r="H21" s="35" t="s">
        <v>54</v>
      </c>
      <c r="I21" s="35" t="s">
        <v>55</v>
      </c>
      <c r="J21" s="35" t="s">
        <v>53</v>
      </c>
      <c r="K21" s="35" t="s">
        <v>55</v>
      </c>
      <c r="L21" s="54">
        <f t="shared" si="0"/>
        <v>0</v>
      </c>
      <c r="M21" s="54">
        <f t="shared" si="1"/>
        <v>2</v>
      </c>
      <c r="N21" s="54">
        <f t="shared" si="2"/>
        <v>1</v>
      </c>
      <c r="O21" s="54">
        <f t="shared" si="3"/>
        <v>2</v>
      </c>
      <c r="P21" s="54">
        <f t="shared" si="4"/>
        <v>3</v>
      </c>
      <c r="Q21" s="54">
        <f t="shared" si="5"/>
        <v>5</v>
      </c>
      <c r="R21" s="56" t="str">
        <f t="shared" si="6"/>
        <v>ALTA</v>
      </c>
      <c r="S21" s="54" t="str">
        <f t="shared" si="7"/>
        <v>3-6 meses</v>
      </c>
      <c r="T21" s="35" t="s">
        <v>90</v>
      </c>
      <c r="U21" s="35" t="s">
        <v>175</v>
      </c>
      <c r="V21" s="35" t="s">
        <v>176</v>
      </c>
      <c r="W21" s="35" t="s">
        <v>84</v>
      </c>
      <c r="X21" s="35" t="s">
        <v>60</v>
      </c>
    </row>
    <row r="22" spans="2:24" ht="45.75" customHeight="1" x14ac:dyDescent="0.3">
      <c r="B22" s="35" t="s">
        <v>47</v>
      </c>
      <c r="C22" s="35" t="s">
        <v>177</v>
      </c>
      <c r="D22" s="35" t="s">
        <v>178</v>
      </c>
      <c r="E22" s="35" t="s">
        <v>179</v>
      </c>
      <c r="F22" s="35" t="s">
        <v>180</v>
      </c>
      <c r="G22" s="35" t="s">
        <v>181</v>
      </c>
      <c r="H22" s="35" t="s">
        <v>54</v>
      </c>
      <c r="I22" s="35" t="s">
        <v>55</v>
      </c>
      <c r="J22" s="35" t="s">
        <v>53</v>
      </c>
      <c r="K22" s="35" t="s">
        <v>55</v>
      </c>
      <c r="L22" s="54">
        <f t="shared" si="0"/>
        <v>0</v>
      </c>
      <c r="M22" s="54">
        <f t="shared" si="1"/>
        <v>2</v>
      </c>
      <c r="N22" s="54">
        <f t="shared" si="2"/>
        <v>1</v>
      </c>
      <c r="O22" s="54">
        <f t="shared" si="3"/>
        <v>2</v>
      </c>
      <c r="P22" s="54">
        <f t="shared" si="4"/>
        <v>3</v>
      </c>
      <c r="Q22" s="54">
        <f t="shared" si="5"/>
        <v>5</v>
      </c>
      <c r="R22" s="56" t="str">
        <f t="shared" si="6"/>
        <v>ALTA</v>
      </c>
      <c r="S22" s="54" t="str">
        <f t="shared" si="7"/>
        <v>3-6 meses</v>
      </c>
      <c r="T22" s="35" t="s">
        <v>90</v>
      </c>
      <c r="U22" s="35" t="s">
        <v>182</v>
      </c>
      <c r="V22" s="35" t="s">
        <v>183</v>
      </c>
      <c r="W22" s="35" t="s">
        <v>119</v>
      </c>
      <c r="X22" s="35" t="s">
        <v>60</v>
      </c>
    </row>
    <row r="23" spans="2:24" ht="45.75" customHeight="1" x14ac:dyDescent="0.3">
      <c r="B23" s="35" t="s">
        <v>47</v>
      </c>
      <c r="C23" s="35" t="s">
        <v>184</v>
      </c>
      <c r="D23" s="35" t="s">
        <v>178</v>
      </c>
      <c r="E23" s="35" t="s">
        <v>185</v>
      </c>
      <c r="F23" s="35" t="s">
        <v>186</v>
      </c>
      <c r="G23" s="35" t="s">
        <v>187</v>
      </c>
      <c r="H23" s="35" t="s">
        <v>54</v>
      </c>
      <c r="I23" s="35" t="s">
        <v>55</v>
      </c>
      <c r="J23" s="35" t="s">
        <v>53</v>
      </c>
      <c r="K23" s="35" t="s">
        <v>55</v>
      </c>
      <c r="L23" s="54">
        <f t="shared" si="0"/>
        <v>0</v>
      </c>
      <c r="M23" s="54">
        <f t="shared" si="1"/>
        <v>2</v>
      </c>
      <c r="N23" s="54">
        <f t="shared" si="2"/>
        <v>1</v>
      </c>
      <c r="O23" s="54">
        <f t="shared" si="3"/>
        <v>2</v>
      </c>
      <c r="P23" s="54">
        <f t="shared" si="4"/>
        <v>3</v>
      </c>
      <c r="Q23" s="54">
        <f t="shared" si="5"/>
        <v>5</v>
      </c>
      <c r="R23" s="56" t="str">
        <f t="shared" si="6"/>
        <v>ALTA</v>
      </c>
      <c r="S23" s="54" t="str">
        <f t="shared" si="7"/>
        <v>3-6 meses</v>
      </c>
      <c r="T23" s="35" t="s">
        <v>90</v>
      </c>
      <c r="U23" s="35" t="s">
        <v>188</v>
      </c>
      <c r="V23" s="35" t="s">
        <v>189</v>
      </c>
      <c r="W23" s="35" t="s">
        <v>119</v>
      </c>
      <c r="X23" s="35" t="s">
        <v>60</v>
      </c>
    </row>
    <row r="24" spans="2:24" ht="45.75" customHeight="1" x14ac:dyDescent="0.3">
      <c r="B24" s="35" t="s">
        <v>47</v>
      </c>
      <c r="C24" s="35" t="s">
        <v>190</v>
      </c>
      <c r="D24" s="35" t="s">
        <v>178</v>
      </c>
      <c r="E24" s="35" t="s">
        <v>191</v>
      </c>
      <c r="F24" s="35" t="s">
        <v>192</v>
      </c>
      <c r="G24" s="35" t="s">
        <v>193</v>
      </c>
      <c r="H24" s="35" t="s">
        <v>55</v>
      </c>
      <c r="I24" s="35" t="s">
        <v>55</v>
      </c>
      <c r="J24" s="35" t="s">
        <v>55</v>
      </c>
      <c r="K24" s="35" t="s">
        <v>55</v>
      </c>
      <c r="L24" s="54">
        <f t="shared" si="0"/>
        <v>2</v>
      </c>
      <c r="M24" s="54">
        <f t="shared" si="1"/>
        <v>2</v>
      </c>
      <c r="N24" s="54">
        <f t="shared" si="2"/>
        <v>2</v>
      </c>
      <c r="O24" s="54">
        <f t="shared" si="3"/>
        <v>2</v>
      </c>
      <c r="P24" s="54">
        <f t="shared" si="4"/>
        <v>4</v>
      </c>
      <c r="Q24" s="54">
        <f t="shared" si="5"/>
        <v>8</v>
      </c>
      <c r="R24" s="56" t="str">
        <f t="shared" si="6"/>
        <v>CRÍTICA</v>
      </c>
      <c r="S24" s="54" t="str">
        <f t="shared" si="7"/>
        <v>0-3 meses</v>
      </c>
      <c r="T24" s="35" t="s">
        <v>81</v>
      </c>
      <c r="U24" s="35" t="s">
        <v>194</v>
      </c>
      <c r="V24" s="35" t="s">
        <v>195</v>
      </c>
      <c r="W24" s="35" t="s">
        <v>149</v>
      </c>
      <c r="X24" s="35" t="s">
        <v>60</v>
      </c>
    </row>
    <row r="25" spans="2:24" ht="45.75" customHeight="1" x14ac:dyDescent="0.3">
      <c r="B25" s="35" t="s">
        <v>47</v>
      </c>
      <c r="C25" s="35" t="s">
        <v>196</v>
      </c>
      <c r="D25" s="35" t="s">
        <v>178</v>
      </c>
      <c r="E25" s="35" t="s">
        <v>197</v>
      </c>
      <c r="F25" s="35" t="s">
        <v>198</v>
      </c>
      <c r="G25" s="35" t="s">
        <v>199</v>
      </c>
      <c r="H25" s="35" t="s">
        <v>53</v>
      </c>
      <c r="I25" s="35" t="s">
        <v>55</v>
      </c>
      <c r="J25" s="35" t="s">
        <v>55</v>
      </c>
      <c r="K25" s="35" t="s">
        <v>55</v>
      </c>
      <c r="L25" s="54">
        <f t="shared" si="0"/>
        <v>1</v>
      </c>
      <c r="M25" s="54">
        <f t="shared" si="1"/>
        <v>2</v>
      </c>
      <c r="N25" s="54">
        <f t="shared" si="2"/>
        <v>2</v>
      </c>
      <c r="O25" s="54">
        <f t="shared" si="3"/>
        <v>2</v>
      </c>
      <c r="P25" s="54">
        <f t="shared" si="4"/>
        <v>4</v>
      </c>
      <c r="Q25" s="54">
        <f t="shared" si="5"/>
        <v>7</v>
      </c>
      <c r="R25" s="56" t="str">
        <f t="shared" si="6"/>
        <v>CRÍTICA</v>
      </c>
      <c r="S25" s="54" t="str">
        <f t="shared" si="7"/>
        <v>0-3 meses</v>
      </c>
      <c r="T25" s="35" t="s">
        <v>81</v>
      </c>
      <c r="U25" s="35" t="s">
        <v>200</v>
      </c>
      <c r="V25" s="35" t="s">
        <v>201</v>
      </c>
      <c r="W25" s="35" t="s">
        <v>119</v>
      </c>
      <c r="X25" s="35" t="s">
        <v>60</v>
      </c>
    </row>
    <row r="26" spans="2:24" ht="45.75" customHeight="1" x14ac:dyDescent="0.3">
      <c r="B26" s="35" t="s">
        <v>47</v>
      </c>
      <c r="C26" s="35" t="s">
        <v>202</v>
      </c>
      <c r="D26" s="35" t="s">
        <v>178</v>
      </c>
      <c r="E26" s="35" t="s">
        <v>203</v>
      </c>
      <c r="F26" s="35" t="s">
        <v>186</v>
      </c>
      <c r="G26" s="35" t="s">
        <v>204</v>
      </c>
      <c r="H26" s="35" t="s">
        <v>55</v>
      </c>
      <c r="I26" s="35" t="s">
        <v>55</v>
      </c>
      <c r="J26" s="35" t="s">
        <v>55</v>
      </c>
      <c r="K26" s="35" t="s">
        <v>55</v>
      </c>
      <c r="L26" s="54">
        <f t="shared" si="0"/>
        <v>2</v>
      </c>
      <c r="M26" s="54">
        <f t="shared" si="1"/>
        <v>2</v>
      </c>
      <c r="N26" s="54">
        <f t="shared" si="2"/>
        <v>2</v>
      </c>
      <c r="O26" s="54">
        <f t="shared" si="3"/>
        <v>2</v>
      </c>
      <c r="P26" s="54">
        <f t="shared" si="4"/>
        <v>4</v>
      </c>
      <c r="Q26" s="54">
        <f t="shared" si="5"/>
        <v>8</v>
      </c>
      <c r="R26" s="56" t="str">
        <f t="shared" si="6"/>
        <v>CRÍTICA</v>
      </c>
      <c r="S26" s="54" t="str">
        <f t="shared" si="7"/>
        <v>0-3 meses</v>
      </c>
      <c r="T26" s="35" t="s">
        <v>81</v>
      </c>
      <c r="U26" s="35" t="s">
        <v>205</v>
      </c>
      <c r="V26" s="35" t="s">
        <v>206</v>
      </c>
      <c r="W26" s="35" t="s">
        <v>207</v>
      </c>
      <c r="X26" s="35" t="s">
        <v>60</v>
      </c>
    </row>
    <row r="27" spans="2:24" ht="45.75" customHeight="1" x14ac:dyDescent="0.3">
      <c r="B27" s="35" t="s">
        <v>47</v>
      </c>
      <c r="C27" s="35" t="s">
        <v>208</v>
      </c>
      <c r="D27" s="35" t="s">
        <v>178</v>
      </c>
      <c r="E27" s="35" t="s">
        <v>209</v>
      </c>
      <c r="F27" s="35" t="s">
        <v>180</v>
      </c>
      <c r="G27" s="35" t="s">
        <v>210</v>
      </c>
      <c r="H27" s="35" t="s">
        <v>53</v>
      </c>
      <c r="I27" s="35" t="s">
        <v>55</v>
      </c>
      <c r="J27" s="35" t="s">
        <v>55</v>
      </c>
      <c r="K27" s="35" t="s">
        <v>55</v>
      </c>
      <c r="L27" s="54">
        <f t="shared" si="0"/>
        <v>1</v>
      </c>
      <c r="M27" s="54">
        <f t="shared" si="1"/>
        <v>2</v>
      </c>
      <c r="N27" s="54">
        <f t="shared" si="2"/>
        <v>2</v>
      </c>
      <c r="O27" s="54">
        <f t="shared" si="3"/>
        <v>2</v>
      </c>
      <c r="P27" s="54">
        <f t="shared" si="4"/>
        <v>4</v>
      </c>
      <c r="Q27" s="54">
        <f t="shared" si="5"/>
        <v>7</v>
      </c>
      <c r="R27" s="56" t="str">
        <f t="shared" si="6"/>
        <v>CRÍTICA</v>
      </c>
      <c r="S27" s="54" t="str">
        <f t="shared" si="7"/>
        <v>0-3 meses</v>
      </c>
      <c r="T27" s="35" t="s">
        <v>81</v>
      </c>
      <c r="U27" s="35" t="s">
        <v>211</v>
      </c>
      <c r="V27" s="35" t="s">
        <v>212</v>
      </c>
      <c r="W27" s="35" t="s">
        <v>207</v>
      </c>
      <c r="X27" s="35" t="s">
        <v>60</v>
      </c>
    </row>
    <row r="28" spans="2:24" ht="45.75" customHeight="1" x14ac:dyDescent="0.3">
      <c r="B28" s="35" t="s">
        <v>47</v>
      </c>
      <c r="C28" s="35" t="s">
        <v>213</v>
      </c>
      <c r="D28" s="35" t="s">
        <v>178</v>
      </c>
      <c r="E28" s="35" t="s">
        <v>214</v>
      </c>
      <c r="F28" s="35" t="s">
        <v>215</v>
      </c>
      <c r="G28" s="35" t="s">
        <v>216</v>
      </c>
      <c r="H28" s="35" t="s">
        <v>55</v>
      </c>
      <c r="I28" s="35" t="s">
        <v>55</v>
      </c>
      <c r="J28" s="35" t="s">
        <v>53</v>
      </c>
      <c r="K28" s="35" t="s">
        <v>55</v>
      </c>
      <c r="L28" s="54">
        <f t="shared" si="0"/>
        <v>2</v>
      </c>
      <c r="M28" s="54">
        <f t="shared" si="1"/>
        <v>2</v>
      </c>
      <c r="N28" s="54">
        <f t="shared" si="2"/>
        <v>1</v>
      </c>
      <c r="O28" s="54">
        <f t="shared" si="3"/>
        <v>2</v>
      </c>
      <c r="P28" s="54">
        <f t="shared" si="4"/>
        <v>4</v>
      </c>
      <c r="Q28" s="54">
        <f t="shared" si="5"/>
        <v>7</v>
      </c>
      <c r="R28" s="56" t="str">
        <f t="shared" si="6"/>
        <v>CRÍTICA</v>
      </c>
      <c r="S28" s="54" t="str">
        <f t="shared" si="7"/>
        <v>0-3 meses</v>
      </c>
      <c r="T28" s="35" t="s">
        <v>81</v>
      </c>
      <c r="U28" s="35" t="s">
        <v>217</v>
      </c>
      <c r="V28" s="35" t="s">
        <v>218</v>
      </c>
      <c r="W28" s="35" t="s">
        <v>219</v>
      </c>
      <c r="X28" s="35" t="s">
        <v>60</v>
      </c>
    </row>
    <row r="29" spans="2:24" ht="45.75" customHeight="1" x14ac:dyDescent="0.3">
      <c r="B29" s="35" t="s">
        <v>47</v>
      </c>
      <c r="C29" s="35" t="s">
        <v>220</v>
      </c>
      <c r="D29" s="35" t="s">
        <v>221</v>
      </c>
      <c r="E29" s="35" t="s">
        <v>222</v>
      </c>
      <c r="F29" s="35" t="s">
        <v>180</v>
      </c>
      <c r="G29" s="35" t="s">
        <v>223</v>
      </c>
      <c r="H29" s="35" t="s">
        <v>53</v>
      </c>
      <c r="I29" s="35" t="s">
        <v>55</v>
      </c>
      <c r="J29" s="35" t="s">
        <v>55</v>
      </c>
      <c r="K29" s="35" t="s">
        <v>55</v>
      </c>
      <c r="L29" s="54">
        <f t="shared" si="0"/>
        <v>1</v>
      </c>
      <c r="M29" s="54">
        <f t="shared" si="1"/>
        <v>2</v>
      </c>
      <c r="N29" s="54">
        <f t="shared" si="2"/>
        <v>2</v>
      </c>
      <c r="O29" s="54">
        <f t="shared" si="3"/>
        <v>2</v>
      </c>
      <c r="P29" s="54">
        <f t="shared" si="4"/>
        <v>4</v>
      </c>
      <c r="Q29" s="54">
        <f t="shared" si="5"/>
        <v>7</v>
      </c>
      <c r="R29" s="56" t="str">
        <f t="shared" si="6"/>
        <v>CRÍTICA</v>
      </c>
      <c r="S29" s="54" t="str">
        <f t="shared" si="7"/>
        <v>0-3 meses</v>
      </c>
      <c r="T29" s="35" t="s">
        <v>81</v>
      </c>
      <c r="U29" s="35" t="s">
        <v>224</v>
      </c>
      <c r="V29" s="35" t="s">
        <v>225</v>
      </c>
      <c r="W29" s="35" t="s">
        <v>226</v>
      </c>
      <c r="X29" s="35" t="s">
        <v>60</v>
      </c>
    </row>
    <row r="30" spans="2:24" ht="45.75" customHeight="1" x14ac:dyDescent="0.3">
      <c r="B30" s="35" t="s">
        <v>47</v>
      </c>
      <c r="C30" s="35" t="s">
        <v>227</v>
      </c>
      <c r="D30" s="35" t="s">
        <v>221</v>
      </c>
      <c r="E30" s="35" t="s">
        <v>228</v>
      </c>
      <c r="F30" s="35" t="s">
        <v>192</v>
      </c>
      <c r="G30" s="35" t="s">
        <v>229</v>
      </c>
      <c r="H30" s="35" t="s">
        <v>55</v>
      </c>
      <c r="I30" s="35" t="s">
        <v>55</v>
      </c>
      <c r="J30" s="35" t="s">
        <v>55</v>
      </c>
      <c r="K30" s="35" t="s">
        <v>55</v>
      </c>
      <c r="L30" s="54">
        <f t="shared" si="0"/>
        <v>2</v>
      </c>
      <c r="M30" s="54">
        <f t="shared" si="1"/>
        <v>2</v>
      </c>
      <c r="N30" s="54">
        <f t="shared" si="2"/>
        <v>2</v>
      </c>
      <c r="O30" s="54">
        <f t="shared" si="3"/>
        <v>2</v>
      </c>
      <c r="P30" s="54">
        <f t="shared" si="4"/>
        <v>4</v>
      </c>
      <c r="Q30" s="54">
        <f t="shared" si="5"/>
        <v>8</v>
      </c>
      <c r="R30" s="56" t="str">
        <f t="shared" si="6"/>
        <v>CRÍTICA</v>
      </c>
      <c r="S30" s="54" t="str">
        <f t="shared" si="7"/>
        <v>0-3 meses</v>
      </c>
      <c r="T30" s="35" t="s">
        <v>81</v>
      </c>
      <c r="U30" s="35" t="s">
        <v>230</v>
      </c>
      <c r="V30" s="35" t="s">
        <v>231</v>
      </c>
      <c r="W30" s="35" t="s">
        <v>232</v>
      </c>
      <c r="X30" s="35" t="s">
        <v>60</v>
      </c>
    </row>
    <row r="31" spans="2:24" ht="45.75" customHeight="1" x14ac:dyDescent="0.3">
      <c r="B31" s="35" t="s">
        <v>47</v>
      </c>
      <c r="C31" s="35" t="s">
        <v>233</v>
      </c>
      <c r="D31" s="35" t="s">
        <v>221</v>
      </c>
      <c r="E31" s="35" t="s">
        <v>234</v>
      </c>
      <c r="F31" s="35" t="s">
        <v>235</v>
      </c>
      <c r="G31" s="35" t="s">
        <v>236</v>
      </c>
      <c r="H31" s="35" t="s">
        <v>53</v>
      </c>
      <c r="I31" s="35" t="s">
        <v>55</v>
      </c>
      <c r="J31" s="35" t="s">
        <v>55</v>
      </c>
      <c r="K31" s="35" t="s">
        <v>55</v>
      </c>
      <c r="L31" s="54">
        <f t="shared" si="0"/>
        <v>1</v>
      </c>
      <c r="M31" s="54">
        <f t="shared" si="1"/>
        <v>2</v>
      </c>
      <c r="N31" s="54">
        <f t="shared" si="2"/>
        <v>2</v>
      </c>
      <c r="O31" s="54">
        <f t="shared" si="3"/>
        <v>2</v>
      </c>
      <c r="P31" s="54">
        <f t="shared" si="4"/>
        <v>4</v>
      </c>
      <c r="Q31" s="54">
        <f t="shared" si="5"/>
        <v>7</v>
      </c>
      <c r="R31" s="56" t="str">
        <f t="shared" si="6"/>
        <v>CRÍTICA</v>
      </c>
      <c r="S31" s="54" t="str">
        <f t="shared" si="7"/>
        <v>0-3 meses</v>
      </c>
      <c r="T31" s="35" t="s">
        <v>81</v>
      </c>
      <c r="U31" s="35" t="s">
        <v>237</v>
      </c>
      <c r="V31" s="35" t="s">
        <v>238</v>
      </c>
      <c r="W31" s="35" t="s">
        <v>239</v>
      </c>
      <c r="X31" s="35" t="s">
        <v>60</v>
      </c>
    </row>
    <row r="32" spans="2:24" ht="45.75" customHeight="1" x14ac:dyDescent="0.3">
      <c r="B32" s="35" t="s">
        <v>47</v>
      </c>
      <c r="C32" s="35" t="s">
        <v>240</v>
      </c>
      <c r="D32" s="35" t="s">
        <v>221</v>
      </c>
      <c r="E32" s="35" t="s">
        <v>241</v>
      </c>
      <c r="F32" s="35" t="s">
        <v>186</v>
      </c>
      <c r="G32" s="35" t="s">
        <v>242</v>
      </c>
      <c r="H32" s="35" t="s">
        <v>54</v>
      </c>
      <c r="I32" s="35" t="s">
        <v>53</v>
      </c>
      <c r="J32" s="35" t="s">
        <v>55</v>
      </c>
      <c r="K32" s="35" t="s">
        <v>55</v>
      </c>
      <c r="L32" s="54">
        <f t="shared" si="0"/>
        <v>0</v>
      </c>
      <c r="M32" s="54">
        <f t="shared" si="1"/>
        <v>1</v>
      </c>
      <c r="N32" s="54">
        <f t="shared" si="2"/>
        <v>2</v>
      </c>
      <c r="O32" s="54">
        <f t="shared" si="3"/>
        <v>2</v>
      </c>
      <c r="P32" s="54">
        <f t="shared" si="4"/>
        <v>3</v>
      </c>
      <c r="Q32" s="54">
        <f t="shared" si="5"/>
        <v>5</v>
      </c>
      <c r="R32" s="56" t="str">
        <f t="shared" si="6"/>
        <v>ALTA</v>
      </c>
      <c r="S32" s="54" t="str">
        <f t="shared" si="7"/>
        <v>3-6 meses</v>
      </c>
      <c r="T32" s="35" t="s">
        <v>90</v>
      </c>
      <c r="U32" s="35" t="s">
        <v>243</v>
      </c>
      <c r="V32" s="35" t="s">
        <v>244</v>
      </c>
      <c r="W32" s="35" t="s">
        <v>207</v>
      </c>
      <c r="X32" s="35" t="s">
        <v>60</v>
      </c>
    </row>
    <row r="33" spans="2:24" ht="45.75" customHeight="1" x14ac:dyDescent="0.3">
      <c r="B33" s="35" t="s">
        <v>245</v>
      </c>
      <c r="C33" s="35" t="s">
        <v>246</v>
      </c>
      <c r="D33" s="35" t="s">
        <v>247</v>
      </c>
      <c r="E33" s="35" t="s">
        <v>248</v>
      </c>
      <c r="F33" s="35" t="s">
        <v>153</v>
      </c>
      <c r="G33" s="35" t="s">
        <v>154</v>
      </c>
      <c r="H33" s="35">
        <v>1</v>
      </c>
      <c r="I33" s="35">
        <v>1</v>
      </c>
      <c r="J33" s="35">
        <v>1</v>
      </c>
      <c r="K33" s="35">
        <v>1</v>
      </c>
      <c r="L33" s="54">
        <f t="shared" si="0"/>
        <v>2</v>
      </c>
      <c r="M33" s="54">
        <f t="shared" si="1"/>
        <v>2</v>
      </c>
      <c r="N33" s="54">
        <f t="shared" si="2"/>
        <v>2</v>
      </c>
      <c r="O33" s="54">
        <f t="shared" si="3"/>
        <v>2</v>
      </c>
      <c r="P33" s="54">
        <f t="shared" si="4"/>
        <v>4</v>
      </c>
      <c r="Q33" s="54">
        <f t="shared" si="5"/>
        <v>8</v>
      </c>
      <c r="R33" s="56" t="str">
        <f t="shared" si="6"/>
        <v>CRÍTICA</v>
      </c>
      <c r="S33" s="54" t="str">
        <f t="shared" si="7"/>
        <v>0-3 meses</v>
      </c>
      <c r="T33" s="35" t="s">
        <v>81</v>
      </c>
      <c r="U33" s="35" t="s">
        <v>249</v>
      </c>
      <c r="V33" s="35" t="s">
        <v>250</v>
      </c>
      <c r="W33" s="35" t="s">
        <v>251</v>
      </c>
      <c r="X33" s="35" t="s">
        <v>252</v>
      </c>
    </row>
    <row r="34" spans="2:24" ht="45.75" customHeight="1" x14ac:dyDescent="0.3">
      <c r="B34" s="35" t="s">
        <v>245</v>
      </c>
      <c r="C34" s="35" t="s">
        <v>253</v>
      </c>
      <c r="D34" s="35" t="s">
        <v>247</v>
      </c>
      <c r="E34" s="35" t="s">
        <v>254</v>
      </c>
      <c r="F34" s="35" t="s">
        <v>153</v>
      </c>
      <c r="G34" s="35" t="s">
        <v>255</v>
      </c>
      <c r="H34" s="35">
        <v>3</v>
      </c>
      <c r="I34" s="35">
        <v>1</v>
      </c>
      <c r="J34" s="35">
        <v>2</v>
      </c>
      <c r="K34" s="35">
        <v>2</v>
      </c>
      <c r="L34" s="54">
        <f t="shared" si="0"/>
        <v>1</v>
      </c>
      <c r="M34" s="54">
        <f t="shared" si="1"/>
        <v>2</v>
      </c>
      <c r="N34" s="54">
        <f t="shared" si="2"/>
        <v>1.5</v>
      </c>
      <c r="O34" s="54">
        <f t="shared" si="3"/>
        <v>1.5</v>
      </c>
      <c r="P34" s="54">
        <f t="shared" si="4"/>
        <v>4</v>
      </c>
      <c r="Q34" s="54">
        <f t="shared" si="5"/>
        <v>6</v>
      </c>
      <c r="R34" s="56" t="str">
        <f t="shared" si="6"/>
        <v>CRÍTICA</v>
      </c>
      <c r="S34" s="54" t="str">
        <f t="shared" si="7"/>
        <v>0-3 meses</v>
      </c>
      <c r="T34" s="35" t="s">
        <v>81</v>
      </c>
      <c r="U34" s="35" t="s">
        <v>256</v>
      </c>
      <c r="V34" s="35" t="s">
        <v>257</v>
      </c>
      <c r="W34" s="35" t="s">
        <v>258</v>
      </c>
      <c r="X34" s="35" t="s">
        <v>252</v>
      </c>
    </row>
    <row r="35" spans="2:24" ht="45.75" customHeight="1" x14ac:dyDescent="0.3">
      <c r="B35" s="35" t="s">
        <v>245</v>
      </c>
      <c r="C35" s="35" t="s">
        <v>259</v>
      </c>
      <c r="D35" s="35" t="s">
        <v>247</v>
      </c>
      <c r="E35" s="35" t="s">
        <v>260</v>
      </c>
      <c r="F35" s="35" t="s">
        <v>102</v>
      </c>
      <c r="G35" s="35" t="s">
        <v>103</v>
      </c>
      <c r="H35" s="35">
        <v>1</v>
      </c>
      <c r="I35" s="35">
        <v>3</v>
      </c>
      <c r="J35" s="35">
        <v>2</v>
      </c>
      <c r="K35" s="35">
        <v>1</v>
      </c>
      <c r="L35" s="54">
        <f t="shared" si="0"/>
        <v>2</v>
      </c>
      <c r="M35" s="54">
        <f t="shared" si="1"/>
        <v>1</v>
      </c>
      <c r="N35" s="54">
        <f t="shared" si="2"/>
        <v>1.5</v>
      </c>
      <c r="O35" s="54">
        <f t="shared" si="3"/>
        <v>2</v>
      </c>
      <c r="P35" s="54">
        <f t="shared" si="4"/>
        <v>4</v>
      </c>
      <c r="Q35" s="54">
        <f t="shared" si="5"/>
        <v>6.5</v>
      </c>
      <c r="R35" s="56" t="str">
        <f t="shared" si="6"/>
        <v>CRÍTICA</v>
      </c>
      <c r="S35" s="54" t="str">
        <f t="shared" si="7"/>
        <v>0-3 meses</v>
      </c>
      <c r="T35" s="35" t="s">
        <v>81</v>
      </c>
      <c r="U35" s="35" t="s">
        <v>261</v>
      </c>
      <c r="V35" s="35" t="s">
        <v>262</v>
      </c>
      <c r="W35" s="35" t="s">
        <v>107</v>
      </c>
      <c r="X35" s="35" t="s">
        <v>252</v>
      </c>
    </row>
    <row r="36" spans="2:24" ht="45.75" customHeight="1" x14ac:dyDescent="0.3">
      <c r="B36" s="35" t="s">
        <v>245</v>
      </c>
      <c r="C36" s="35" t="s">
        <v>263</v>
      </c>
      <c r="D36" s="35" t="s">
        <v>247</v>
      </c>
      <c r="E36" s="35" t="s">
        <v>264</v>
      </c>
      <c r="F36" s="35" t="s">
        <v>153</v>
      </c>
      <c r="G36" s="35" t="s">
        <v>265</v>
      </c>
      <c r="H36" s="35">
        <v>5</v>
      </c>
      <c r="I36" s="35">
        <v>2</v>
      </c>
      <c r="J36" s="35">
        <v>1</v>
      </c>
      <c r="K36" s="35">
        <v>1</v>
      </c>
      <c r="L36" s="54">
        <f t="shared" ref="L36:L67" si="8">IF(ISNUMBER(H36),MAX(0,2-(H36-1)*0.5),IF(H36="No",2,IF(H36="Parcial",1,0)))</f>
        <v>0</v>
      </c>
      <c r="M36" s="54">
        <f t="shared" ref="M36:M67" si="9">IF(ISNUMBER(I36),MAX(0,2-(I36-1)*0.5),IF(I36="No",2,IF(I36="Parcial",1,0)))</f>
        <v>1.5</v>
      </c>
      <c r="N36" s="54">
        <f t="shared" ref="N36:N67" si="10">IF(ISNUMBER(J36),MAX(0,2-(J36-1)*0.5),IF(J36="No",2,IF(J36="Parcial",1,0)))</f>
        <v>2</v>
      </c>
      <c r="O36" s="54">
        <f t="shared" ref="O36:O67" si="11">IF(ISNUMBER(K36),MAX(0,2-(K36-1)*0.5),IF(K36="No",2,IF(K36="Parcial",1,0)))</f>
        <v>2</v>
      </c>
      <c r="P36" s="54">
        <f t="shared" ref="P36:P67" si="12">COUNTIF(L36:O36,"&gt;=1")</f>
        <v>3</v>
      </c>
      <c r="Q36" s="54">
        <f t="shared" ref="Q36:Q67" si="13">SUM(L36:O36)</f>
        <v>5.5</v>
      </c>
      <c r="R36" s="56" t="str">
        <f t="shared" ref="R36:R67" si="14">IF(Q36&gt;=6,"CRÍTICA",IF(Q36&gt;=4,"ALTA",IF(Q36&gt;=2,"MEDIA","BAJA")))</f>
        <v>ALTA</v>
      </c>
      <c r="S36" s="54" t="str">
        <f t="shared" ref="S36:S67" si="15">IF(R36="CRÍTICA","0-3 meses",IF(R36="ALTA","3-6 meses",IF(R36="MEDIA","6-9 meses","9-12 meses")))</f>
        <v>3-6 meses</v>
      </c>
      <c r="T36" s="35" t="s">
        <v>90</v>
      </c>
      <c r="U36" s="35" t="s">
        <v>266</v>
      </c>
      <c r="V36" s="35" t="s">
        <v>267</v>
      </c>
      <c r="W36" s="35" t="s">
        <v>268</v>
      </c>
      <c r="X36" s="35" t="s">
        <v>252</v>
      </c>
    </row>
    <row r="37" spans="2:24" ht="45.75" customHeight="1" x14ac:dyDescent="0.3">
      <c r="B37" s="35" t="s">
        <v>245</v>
      </c>
      <c r="C37" s="35" t="s">
        <v>269</v>
      </c>
      <c r="D37" s="35" t="s">
        <v>270</v>
      </c>
      <c r="E37" s="35" t="s">
        <v>271</v>
      </c>
      <c r="F37" s="35" t="s">
        <v>180</v>
      </c>
      <c r="G37" s="35" t="s">
        <v>272</v>
      </c>
      <c r="H37" s="35">
        <v>1</v>
      </c>
      <c r="I37" s="35">
        <v>2</v>
      </c>
      <c r="J37" s="35">
        <v>2</v>
      </c>
      <c r="K37" s="35">
        <v>1</v>
      </c>
      <c r="L37" s="54">
        <f t="shared" si="8"/>
        <v>2</v>
      </c>
      <c r="M37" s="54">
        <f t="shared" si="9"/>
        <v>1.5</v>
      </c>
      <c r="N37" s="54">
        <f t="shared" si="10"/>
        <v>1.5</v>
      </c>
      <c r="O37" s="54">
        <f t="shared" si="11"/>
        <v>2</v>
      </c>
      <c r="P37" s="54">
        <f t="shared" si="12"/>
        <v>4</v>
      </c>
      <c r="Q37" s="54">
        <f t="shared" si="13"/>
        <v>7</v>
      </c>
      <c r="R37" s="56" t="str">
        <f t="shared" si="14"/>
        <v>CRÍTICA</v>
      </c>
      <c r="S37" s="54" t="str">
        <f t="shared" si="15"/>
        <v>0-3 meses</v>
      </c>
      <c r="T37" s="35" t="s">
        <v>81</v>
      </c>
      <c r="U37" s="35" t="s">
        <v>273</v>
      </c>
      <c r="V37" s="35" t="s">
        <v>274</v>
      </c>
      <c r="W37" s="35" t="s">
        <v>275</v>
      </c>
      <c r="X37" s="35" t="s">
        <v>252</v>
      </c>
    </row>
    <row r="38" spans="2:24" ht="45.75" customHeight="1" x14ac:dyDescent="0.3">
      <c r="B38" s="35" t="s">
        <v>245</v>
      </c>
      <c r="C38" s="35" t="s">
        <v>276</v>
      </c>
      <c r="D38" s="35" t="s">
        <v>270</v>
      </c>
      <c r="E38" s="35" t="s">
        <v>277</v>
      </c>
      <c r="F38" s="35" t="s">
        <v>79</v>
      </c>
      <c r="G38" s="35" t="s">
        <v>52</v>
      </c>
      <c r="H38" s="35">
        <v>1</v>
      </c>
      <c r="I38" s="35">
        <v>1</v>
      </c>
      <c r="J38" s="35">
        <v>1</v>
      </c>
      <c r="K38" s="35">
        <v>1</v>
      </c>
      <c r="L38" s="54">
        <f t="shared" si="8"/>
        <v>2</v>
      </c>
      <c r="M38" s="54">
        <f t="shared" si="9"/>
        <v>2</v>
      </c>
      <c r="N38" s="54">
        <f t="shared" si="10"/>
        <v>2</v>
      </c>
      <c r="O38" s="54">
        <f t="shared" si="11"/>
        <v>2</v>
      </c>
      <c r="P38" s="54">
        <f t="shared" si="12"/>
        <v>4</v>
      </c>
      <c r="Q38" s="54">
        <f t="shared" si="13"/>
        <v>8</v>
      </c>
      <c r="R38" s="56" t="str">
        <f t="shared" si="14"/>
        <v>CRÍTICA</v>
      </c>
      <c r="S38" s="54" t="str">
        <f t="shared" si="15"/>
        <v>0-3 meses</v>
      </c>
      <c r="T38" s="35" t="s">
        <v>81</v>
      </c>
      <c r="U38" s="35" t="s">
        <v>278</v>
      </c>
      <c r="V38" s="35" t="s">
        <v>279</v>
      </c>
      <c r="W38" s="35" t="s">
        <v>149</v>
      </c>
      <c r="X38" s="35" t="s">
        <v>252</v>
      </c>
    </row>
    <row r="39" spans="2:24" ht="45.75" customHeight="1" x14ac:dyDescent="0.3">
      <c r="B39" s="35" t="s">
        <v>245</v>
      </c>
      <c r="C39" s="35" t="s">
        <v>280</v>
      </c>
      <c r="D39" s="35" t="s">
        <v>270</v>
      </c>
      <c r="E39" s="35" t="s">
        <v>281</v>
      </c>
      <c r="F39" s="35" t="s">
        <v>110</v>
      </c>
      <c r="G39" s="35" t="s">
        <v>89</v>
      </c>
      <c r="H39" s="35">
        <v>1</v>
      </c>
      <c r="I39" s="35">
        <v>1</v>
      </c>
      <c r="J39" s="35">
        <v>1</v>
      </c>
      <c r="K39" s="35">
        <v>1</v>
      </c>
      <c r="L39" s="54">
        <f t="shared" si="8"/>
        <v>2</v>
      </c>
      <c r="M39" s="54">
        <f t="shared" si="9"/>
        <v>2</v>
      </c>
      <c r="N39" s="54">
        <f t="shared" si="10"/>
        <v>2</v>
      </c>
      <c r="O39" s="54">
        <f t="shared" si="11"/>
        <v>2</v>
      </c>
      <c r="P39" s="54">
        <f t="shared" si="12"/>
        <v>4</v>
      </c>
      <c r="Q39" s="54">
        <f t="shared" si="13"/>
        <v>8</v>
      </c>
      <c r="R39" s="56" t="str">
        <f t="shared" si="14"/>
        <v>CRÍTICA</v>
      </c>
      <c r="S39" s="54" t="str">
        <f t="shared" si="15"/>
        <v>0-3 meses</v>
      </c>
      <c r="T39" s="35" t="s">
        <v>81</v>
      </c>
      <c r="U39" s="35" t="s">
        <v>282</v>
      </c>
      <c r="V39" s="35" t="s">
        <v>283</v>
      </c>
      <c r="W39" s="35" t="s">
        <v>149</v>
      </c>
      <c r="X39" s="35" t="s">
        <v>252</v>
      </c>
    </row>
    <row r="40" spans="2:24" ht="45.75" customHeight="1" x14ac:dyDescent="0.3">
      <c r="B40" s="35" t="s">
        <v>245</v>
      </c>
      <c r="C40" s="35" t="s">
        <v>284</v>
      </c>
      <c r="D40" s="35" t="s">
        <v>270</v>
      </c>
      <c r="E40" s="35" t="s">
        <v>285</v>
      </c>
      <c r="F40" s="35" t="s">
        <v>198</v>
      </c>
      <c r="G40" s="35" t="s">
        <v>286</v>
      </c>
      <c r="H40" s="35">
        <v>3</v>
      </c>
      <c r="I40" s="35">
        <v>1</v>
      </c>
      <c r="J40" s="35">
        <v>1</v>
      </c>
      <c r="K40" s="35">
        <v>1</v>
      </c>
      <c r="L40" s="54">
        <f t="shared" si="8"/>
        <v>1</v>
      </c>
      <c r="M40" s="54">
        <f t="shared" si="9"/>
        <v>2</v>
      </c>
      <c r="N40" s="54">
        <f t="shared" si="10"/>
        <v>2</v>
      </c>
      <c r="O40" s="54">
        <f t="shared" si="11"/>
        <v>2</v>
      </c>
      <c r="P40" s="54">
        <f t="shared" si="12"/>
        <v>4</v>
      </c>
      <c r="Q40" s="54">
        <f t="shared" si="13"/>
        <v>7</v>
      </c>
      <c r="R40" s="56" t="str">
        <f t="shared" si="14"/>
        <v>CRÍTICA</v>
      </c>
      <c r="S40" s="54" t="str">
        <f t="shared" si="15"/>
        <v>0-3 meses</v>
      </c>
      <c r="T40" s="35" t="s">
        <v>81</v>
      </c>
      <c r="U40" s="35" t="s">
        <v>287</v>
      </c>
      <c r="V40" s="35" t="s">
        <v>288</v>
      </c>
      <c r="W40" s="35" t="s">
        <v>119</v>
      </c>
      <c r="X40" s="35" t="s">
        <v>252</v>
      </c>
    </row>
    <row r="41" spans="2:24" ht="45.75" customHeight="1" x14ac:dyDescent="0.3">
      <c r="B41" s="35" t="s">
        <v>245</v>
      </c>
      <c r="C41" s="35" t="s">
        <v>289</v>
      </c>
      <c r="D41" s="35" t="s">
        <v>270</v>
      </c>
      <c r="E41" s="35" t="s">
        <v>290</v>
      </c>
      <c r="F41" s="35" t="s">
        <v>291</v>
      </c>
      <c r="G41" s="35" t="s">
        <v>292</v>
      </c>
      <c r="H41" s="35">
        <v>1</v>
      </c>
      <c r="I41" s="35">
        <v>1</v>
      </c>
      <c r="J41" s="35">
        <v>1</v>
      </c>
      <c r="K41" s="35">
        <v>1</v>
      </c>
      <c r="L41" s="54">
        <f t="shared" si="8"/>
        <v>2</v>
      </c>
      <c r="M41" s="54">
        <f t="shared" si="9"/>
        <v>2</v>
      </c>
      <c r="N41" s="54">
        <f t="shared" si="10"/>
        <v>2</v>
      </c>
      <c r="O41" s="54">
        <f t="shared" si="11"/>
        <v>2</v>
      </c>
      <c r="P41" s="54">
        <f t="shared" si="12"/>
        <v>4</v>
      </c>
      <c r="Q41" s="54">
        <f t="shared" si="13"/>
        <v>8</v>
      </c>
      <c r="R41" s="56" t="str">
        <f t="shared" si="14"/>
        <v>CRÍTICA</v>
      </c>
      <c r="S41" s="54" t="str">
        <f t="shared" si="15"/>
        <v>0-3 meses</v>
      </c>
      <c r="T41" s="35" t="s">
        <v>81</v>
      </c>
      <c r="U41" s="35" t="s">
        <v>293</v>
      </c>
      <c r="V41" s="35" t="s">
        <v>294</v>
      </c>
      <c r="W41" s="35" t="s">
        <v>149</v>
      </c>
      <c r="X41" s="35" t="s">
        <v>252</v>
      </c>
    </row>
    <row r="42" spans="2:24" ht="45.75" customHeight="1" x14ac:dyDescent="0.3">
      <c r="B42" s="35" t="s">
        <v>245</v>
      </c>
      <c r="C42" s="35" t="s">
        <v>295</v>
      </c>
      <c r="D42" s="35" t="s">
        <v>296</v>
      </c>
      <c r="E42" s="35" t="s">
        <v>297</v>
      </c>
      <c r="F42" s="35" t="s">
        <v>180</v>
      </c>
      <c r="G42" s="35" t="s">
        <v>223</v>
      </c>
      <c r="H42" s="35">
        <v>3</v>
      </c>
      <c r="I42" s="35">
        <v>2</v>
      </c>
      <c r="J42" s="35">
        <v>2</v>
      </c>
      <c r="K42" s="35">
        <v>1</v>
      </c>
      <c r="L42" s="54">
        <f t="shared" si="8"/>
        <v>1</v>
      </c>
      <c r="M42" s="54">
        <f t="shared" si="9"/>
        <v>1.5</v>
      </c>
      <c r="N42" s="54">
        <f t="shared" si="10"/>
        <v>1.5</v>
      </c>
      <c r="O42" s="54">
        <f t="shared" si="11"/>
        <v>2</v>
      </c>
      <c r="P42" s="54">
        <f t="shared" si="12"/>
        <v>4</v>
      </c>
      <c r="Q42" s="54">
        <f t="shared" si="13"/>
        <v>6</v>
      </c>
      <c r="R42" s="56" t="str">
        <f t="shared" si="14"/>
        <v>CRÍTICA</v>
      </c>
      <c r="S42" s="54" t="str">
        <f t="shared" si="15"/>
        <v>0-3 meses</v>
      </c>
      <c r="T42" s="35" t="s">
        <v>81</v>
      </c>
      <c r="U42" s="35" t="s">
        <v>298</v>
      </c>
      <c r="V42" s="35" t="s">
        <v>299</v>
      </c>
      <c r="W42" s="35" t="s">
        <v>300</v>
      </c>
      <c r="X42" s="35" t="s">
        <v>252</v>
      </c>
    </row>
    <row r="43" spans="2:24" ht="45.75" customHeight="1" x14ac:dyDescent="0.3">
      <c r="B43" s="35" t="s">
        <v>245</v>
      </c>
      <c r="C43" s="35" t="s">
        <v>301</v>
      </c>
      <c r="D43" s="35" t="s">
        <v>296</v>
      </c>
      <c r="E43" s="35" t="s">
        <v>302</v>
      </c>
      <c r="F43" s="35" t="s">
        <v>180</v>
      </c>
      <c r="G43" s="35" t="s">
        <v>223</v>
      </c>
      <c r="H43" s="35">
        <v>1</v>
      </c>
      <c r="I43" s="35">
        <v>1</v>
      </c>
      <c r="J43" s="35">
        <v>2</v>
      </c>
      <c r="K43" s="35">
        <v>1</v>
      </c>
      <c r="L43" s="54">
        <f t="shared" si="8"/>
        <v>2</v>
      </c>
      <c r="M43" s="54">
        <f t="shared" si="9"/>
        <v>2</v>
      </c>
      <c r="N43" s="54">
        <f t="shared" si="10"/>
        <v>1.5</v>
      </c>
      <c r="O43" s="54">
        <f t="shared" si="11"/>
        <v>2</v>
      </c>
      <c r="P43" s="54">
        <f t="shared" si="12"/>
        <v>4</v>
      </c>
      <c r="Q43" s="54">
        <f t="shared" si="13"/>
        <v>7.5</v>
      </c>
      <c r="R43" s="56" t="str">
        <f t="shared" si="14"/>
        <v>CRÍTICA</v>
      </c>
      <c r="S43" s="54" t="str">
        <f t="shared" si="15"/>
        <v>0-3 meses</v>
      </c>
      <c r="T43" s="35" t="s">
        <v>81</v>
      </c>
      <c r="U43" s="35" t="s">
        <v>303</v>
      </c>
      <c r="V43" s="35" t="s">
        <v>304</v>
      </c>
      <c r="W43" s="35" t="s">
        <v>226</v>
      </c>
      <c r="X43" s="35" t="s">
        <v>252</v>
      </c>
    </row>
    <row r="44" spans="2:24" ht="45.75" customHeight="1" x14ac:dyDescent="0.3">
      <c r="B44" s="35" t="s">
        <v>245</v>
      </c>
      <c r="C44" s="35" t="s">
        <v>305</v>
      </c>
      <c r="D44" s="35" t="s">
        <v>296</v>
      </c>
      <c r="E44" s="35" t="s">
        <v>306</v>
      </c>
      <c r="F44" s="35" t="s">
        <v>291</v>
      </c>
      <c r="G44" s="35" t="s">
        <v>307</v>
      </c>
      <c r="H44" s="35">
        <v>3</v>
      </c>
      <c r="I44" s="35">
        <v>1</v>
      </c>
      <c r="J44" s="35">
        <v>5</v>
      </c>
      <c r="K44" s="35">
        <v>1</v>
      </c>
      <c r="L44" s="54">
        <f t="shared" si="8"/>
        <v>1</v>
      </c>
      <c r="M44" s="54">
        <f t="shared" si="9"/>
        <v>2</v>
      </c>
      <c r="N44" s="54">
        <f t="shared" si="10"/>
        <v>0</v>
      </c>
      <c r="O44" s="54">
        <f t="shared" si="11"/>
        <v>2</v>
      </c>
      <c r="P44" s="54">
        <f t="shared" si="12"/>
        <v>3</v>
      </c>
      <c r="Q44" s="54">
        <f t="shared" si="13"/>
        <v>5</v>
      </c>
      <c r="R44" s="56" t="str">
        <f t="shared" si="14"/>
        <v>ALTA</v>
      </c>
      <c r="S44" s="54" t="str">
        <f t="shared" si="15"/>
        <v>3-6 meses</v>
      </c>
      <c r="T44" s="35" t="s">
        <v>308</v>
      </c>
      <c r="U44" s="35" t="s">
        <v>309</v>
      </c>
      <c r="V44" s="35" t="s">
        <v>310</v>
      </c>
      <c r="W44" s="35" t="s">
        <v>119</v>
      </c>
      <c r="X44" s="35" t="s">
        <v>252</v>
      </c>
    </row>
    <row r="45" spans="2:24" ht="45.75" customHeight="1" x14ac:dyDescent="0.3">
      <c r="B45" s="35" t="s">
        <v>245</v>
      </c>
      <c r="C45" s="35" t="s">
        <v>311</v>
      </c>
      <c r="D45" s="35" t="s">
        <v>296</v>
      </c>
      <c r="E45" s="35" t="s">
        <v>312</v>
      </c>
      <c r="F45" s="35" t="s">
        <v>180</v>
      </c>
      <c r="G45" s="35" t="s">
        <v>313</v>
      </c>
      <c r="H45" s="35">
        <v>3</v>
      </c>
      <c r="I45" s="35">
        <v>2</v>
      </c>
      <c r="J45" s="35">
        <v>5</v>
      </c>
      <c r="K45" s="35">
        <v>2</v>
      </c>
      <c r="L45" s="54">
        <f t="shared" si="8"/>
        <v>1</v>
      </c>
      <c r="M45" s="54">
        <f t="shared" si="9"/>
        <v>1.5</v>
      </c>
      <c r="N45" s="54">
        <f t="shared" si="10"/>
        <v>0</v>
      </c>
      <c r="O45" s="54">
        <f t="shared" si="11"/>
        <v>1.5</v>
      </c>
      <c r="P45" s="54">
        <f t="shared" si="12"/>
        <v>3</v>
      </c>
      <c r="Q45" s="54">
        <f t="shared" si="13"/>
        <v>4</v>
      </c>
      <c r="R45" s="56" t="str">
        <f t="shared" si="14"/>
        <v>ALTA</v>
      </c>
      <c r="S45" s="54" t="str">
        <f t="shared" si="15"/>
        <v>3-6 meses</v>
      </c>
      <c r="T45" s="35" t="s">
        <v>308</v>
      </c>
      <c r="U45" s="35" t="s">
        <v>314</v>
      </c>
      <c r="V45" s="35" t="s">
        <v>315</v>
      </c>
      <c r="W45" s="35" t="s">
        <v>171</v>
      </c>
      <c r="X45" s="35" t="s">
        <v>252</v>
      </c>
    </row>
    <row r="46" spans="2:24" ht="45.75" customHeight="1" x14ac:dyDescent="0.3">
      <c r="B46" s="35" t="s">
        <v>245</v>
      </c>
      <c r="C46" s="35" t="s">
        <v>316</v>
      </c>
      <c r="D46" s="35" t="s">
        <v>317</v>
      </c>
      <c r="E46" s="35" t="s">
        <v>318</v>
      </c>
      <c r="F46" s="35" t="s">
        <v>186</v>
      </c>
      <c r="G46" s="35" t="s">
        <v>187</v>
      </c>
      <c r="H46" s="35">
        <v>1</v>
      </c>
      <c r="I46" s="35">
        <v>1</v>
      </c>
      <c r="J46" s="35">
        <v>1</v>
      </c>
      <c r="K46" s="35">
        <v>1</v>
      </c>
      <c r="L46" s="54">
        <f t="shared" si="8"/>
        <v>2</v>
      </c>
      <c r="M46" s="54">
        <f t="shared" si="9"/>
        <v>2</v>
      </c>
      <c r="N46" s="54">
        <f t="shared" si="10"/>
        <v>2</v>
      </c>
      <c r="O46" s="54">
        <f t="shared" si="11"/>
        <v>2</v>
      </c>
      <c r="P46" s="54">
        <f t="shared" si="12"/>
        <v>4</v>
      </c>
      <c r="Q46" s="54">
        <f t="shared" si="13"/>
        <v>8</v>
      </c>
      <c r="R46" s="56" t="str">
        <f t="shared" si="14"/>
        <v>CRÍTICA</v>
      </c>
      <c r="S46" s="54" t="str">
        <f t="shared" si="15"/>
        <v>0-3 meses</v>
      </c>
      <c r="T46" s="35" t="s">
        <v>81</v>
      </c>
      <c r="U46" s="35" t="s">
        <v>319</v>
      </c>
      <c r="V46" s="35" t="s">
        <v>320</v>
      </c>
      <c r="W46" s="35" t="s">
        <v>119</v>
      </c>
      <c r="X46" s="35" t="s">
        <v>252</v>
      </c>
    </row>
    <row r="47" spans="2:24" ht="45.75" customHeight="1" x14ac:dyDescent="0.3">
      <c r="B47" s="35" t="s">
        <v>245</v>
      </c>
      <c r="C47" s="35" t="s">
        <v>321</v>
      </c>
      <c r="D47" s="35" t="s">
        <v>317</v>
      </c>
      <c r="E47" s="35" t="s">
        <v>322</v>
      </c>
      <c r="F47" s="35" t="s">
        <v>186</v>
      </c>
      <c r="G47" s="35" t="s">
        <v>323</v>
      </c>
      <c r="H47" s="35">
        <v>1</v>
      </c>
      <c r="I47" s="35">
        <v>2</v>
      </c>
      <c r="J47" s="35">
        <v>2</v>
      </c>
      <c r="K47" s="35">
        <v>1</v>
      </c>
      <c r="L47" s="54">
        <f t="shared" si="8"/>
        <v>2</v>
      </c>
      <c r="M47" s="54">
        <f t="shared" si="9"/>
        <v>1.5</v>
      </c>
      <c r="N47" s="54">
        <f t="shared" si="10"/>
        <v>1.5</v>
      </c>
      <c r="O47" s="54">
        <f t="shared" si="11"/>
        <v>2</v>
      </c>
      <c r="P47" s="54">
        <f t="shared" si="12"/>
        <v>4</v>
      </c>
      <c r="Q47" s="54">
        <f t="shared" si="13"/>
        <v>7</v>
      </c>
      <c r="R47" s="56" t="str">
        <f t="shared" si="14"/>
        <v>CRÍTICA</v>
      </c>
      <c r="S47" s="54" t="str">
        <f t="shared" si="15"/>
        <v>0-3 meses</v>
      </c>
      <c r="T47" s="35" t="s">
        <v>81</v>
      </c>
      <c r="U47" s="35" t="s">
        <v>324</v>
      </c>
      <c r="V47" s="35" t="s">
        <v>325</v>
      </c>
      <c r="W47" s="35" t="s">
        <v>119</v>
      </c>
      <c r="X47" s="35" t="s">
        <v>252</v>
      </c>
    </row>
    <row r="48" spans="2:24" ht="45.75" customHeight="1" x14ac:dyDescent="0.3">
      <c r="B48" s="35" t="s">
        <v>245</v>
      </c>
      <c r="C48" s="35" t="s">
        <v>326</v>
      </c>
      <c r="D48" s="35" t="s">
        <v>317</v>
      </c>
      <c r="E48" s="35" t="s">
        <v>327</v>
      </c>
      <c r="F48" s="35" t="s">
        <v>192</v>
      </c>
      <c r="G48" s="35" t="s">
        <v>193</v>
      </c>
      <c r="H48" s="35">
        <v>1</v>
      </c>
      <c r="I48" s="35">
        <v>2</v>
      </c>
      <c r="J48" s="35">
        <v>1</v>
      </c>
      <c r="K48" s="35">
        <v>1</v>
      </c>
      <c r="L48" s="54">
        <f t="shared" si="8"/>
        <v>2</v>
      </c>
      <c r="M48" s="54">
        <f t="shared" si="9"/>
        <v>1.5</v>
      </c>
      <c r="N48" s="54">
        <f t="shared" si="10"/>
        <v>2</v>
      </c>
      <c r="O48" s="54">
        <f t="shared" si="11"/>
        <v>2</v>
      </c>
      <c r="P48" s="54">
        <f t="shared" si="12"/>
        <v>4</v>
      </c>
      <c r="Q48" s="54">
        <f t="shared" si="13"/>
        <v>7.5</v>
      </c>
      <c r="R48" s="56" t="str">
        <f t="shared" si="14"/>
        <v>CRÍTICA</v>
      </c>
      <c r="S48" s="54" t="str">
        <f t="shared" si="15"/>
        <v>0-3 meses</v>
      </c>
      <c r="T48" s="35" t="s">
        <v>81</v>
      </c>
      <c r="U48" s="35" t="s">
        <v>328</v>
      </c>
      <c r="V48" s="35" t="s">
        <v>329</v>
      </c>
      <c r="W48" s="35" t="s">
        <v>149</v>
      </c>
      <c r="X48" s="35" t="s">
        <v>252</v>
      </c>
    </row>
    <row r="49" spans="2:24" ht="45.75" customHeight="1" x14ac:dyDescent="0.3">
      <c r="B49" s="35" t="s">
        <v>245</v>
      </c>
      <c r="C49" s="35" t="s">
        <v>330</v>
      </c>
      <c r="D49" s="35" t="s">
        <v>317</v>
      </c>
      <c r="E49" s="35" t="s">
        <v>331</v>
      </c>
      <c r="F49" s="35" t="s">
        <v>180</v>
      </c>
      <c r="G49" s="35" t="s">
        <v>332</v>
      </c>
      <c r="H49" s="35">
        <v>5</v>
      </c>
      <c r="I49" s="35">
        <v>1</v>
      </c>
      <c r="J49" s="35">
        <v>2</v>
      </c>
      <c r="K49" s="35">
        <v>1</v>
      </c>
      <c r="L49" s="54">
        <f t="shared" si="8"/>
        <v>0</v>
      </c>
      <c r="M49" s="54">
        <f t="shared" si="9"/>
        <v>2</v>
      </c>
      <c r="N49" s="54">
        <f t="shared" si="10"/>
        <v>1.5</v>
      </c>
      <c r="O49" s="54">
        <f t="shared" si="11"/>
        <v>2</v>
      </c>
      <c r="P49" s="54">
        <f t="shared" si="12"/>
        <v>3</v>
      </c>
      <c r="Q49" s="54">
        <f t="shared" si="13"/>
        <v>5.5</v>
      </c>
      <c r="R49" s="56" t="str">
        <f t="shared" si="14"/>
        <v>ALTA</v>
      </c>
      <c r="S49" s="54" t="str">
        <f t="shared" si="15"/>
        <v>3-6 meses</v>
      </c>
      <c r="T49" s="35" t="s">
        <v>90</v>
      </c>
      <c r="U49" s="35" t="s">
        <v>333</v>
      </c>
      <c r="V49" s="35" t="s">
        <v>334</v>
      </c>
      <c r="W49" s="35" t="s">
        <v>207</v>
      </c>
      <c r="X49" s="35" t="s">
        <v>252</v>
      </c>
    </row>
    <row r="50" spans="2:24" ht="45.75" customHeight="1" x14ac:dyDescent="0.3">
      <c r="B50" s="35" t="s">
        <v>245</v>
      </c>
      <c r="C50" s="35" t="s">
        <v>335</v>
      </c>
      <c r="D50" s="35" t="s">
        <v>317</v>
      </c>
      <c r="E50" s="35" t="s">
        <v>336</v>
      </c>
      <c r="F50" s="35" t="s">
        <v>186</v>
      </c>
      <c r="G50" s="35" t="s">
        <v>204</v>
      </c>
      <c r="H50" s="35">
        <v>5</v>
      </c>
      <c r="I50" s="35">
        <v>3</v>
      </c>
      <c r="J50" s="35">
        <v>2</v>
      </c>
      <c r="K50" s="35">
        <v>1</v>
      </c>
      <c r="L50" s="54">
        <f t="shared" si="8"/>
        <v>0</v>
      </c>
      <c r="M50" s="54">
        <f t="shared" si="9"/>
        <v>1</v>
      </c>
      <c r="N50" s="54">
        <f t="shared" si="10"/>
        <v>1.5</v>
      </c>
      <c r="O50" s="54">
        <f t="shared" si="11"/>
        <v>2</v>
      </c>
      <c r="P50" s="54">
        <f t="shared" si="12"/>
        <v>3</v>
      </c>
      <c r="Q50" s="54">
        <f t="shared" si="13"/>
        <v>4.5</v>
      </c>
      <c r="R50" s="56" t="str">
        <f t="shared" si="14"/>
        <v>ALTA</v>
      </c>
      <c r="S50" s="54" t="str">
        <f t="shared" si="15"/>
        <v>3-6 meses</v>
      </c>
      <c r="T50" s="35" t="s">
        <v>90</v>
      </c>
      <c r="U50" s="35" t="s">
        <v>337</v>
      </c>
      <c r="V50" s="35" t="s">
        <v>338</v>
      </c>
      <c r="W50" s="35" t="s">
        <v>207</v>
      </c>
      <c r="X50" s="35" t="s">
        <v>252</v>
      </c>
    </row>
    <row r="51" spans="2:24" ht="45.75" customHeight="1" x14ac:dyDescent="0.3">
      <c r="B51" s="35" t="s">
        <v>245</v>
      </c>
      <c r="C51" s="35" t="s">
        <v>339</v>
      </c>
      <c r="D51" s="35" t="s">
        <v>340</v>
      </c>
      <c r="E51" s="35" t="s">
        <v>341</v>
      </c>
      <c r="F51" s="35" t="s">
        <v>160</v>
      </c>
      <c r="G51" s="35" t="s">
        <v>161</v>
      </c>
      <c r="H51" s="35">
        <v>5</v>
      </c>
      <c r="I51" s="35">
        <v>3</v>
      </c>
      <c r="J51" s="35">
        <v>3</v>
      </c>
      <c r="K51" s="35">
        <v>1</v>
      </c>
      <c r="L51" s="54">
        <f t="shared" si="8"/>
        <v>0</v>
      </c>
      <c r="M51" s="54">
        <f t="shared" si="9"/>
        <v>1</v>
      </c>
      <c r="N51" s="54">
        <f t="shared" si="10"/>
        <v>1</v>
      </c>
      <c r="O51" s="54">
        <f t="shared" si="11"/>
        <v>2</v>
      </c>
      <c r="P51" s="54">
        <f t="shared" si="12"/>
        <v>3</v>
      </c>
      <c r="Q51" s="54">
        <f t="shared" si="13"/>
        <v>4</v>
      </c>
      <c r="R51" s="56" t="str">
        <f t="shared" si="14"/>
        <v>ALTA</v>
      </c>
      <c r="S51" s="54" t="str">
        <f t="shared" si="15"/>
        <v>3-6 meses</v>
      </c>
      <c r="T51" s="35" t="s">
        <v>90</v>
      </c>
      <c r="U51" s="35" t="s">
        <v>342</v>
      </c>
      <c r="V51" s="35" t="s">
        <v>343</v>
      </c>
      <c r="W51" s="35" t="s">
        <v>164</v>
      </c>
      <c r="X51" s="35" t="s">
        <v>252</v>
      </c>
    </row>
    <row r="52" spans="2:24" ht="45.75" customHeight="1" x14ac:dyDescent="0.3">
      <c r="B52" s="35" t="s">
        <v>245</v>
      </c>
      <c r="C52" s="35" t="s">
        <v>344</v>
      </c>
      <c r="D52" s="35" t="s">
        <v>340</v>
      </c>
      <c r="E52" s="35" t="s">
        <v>345</v>
      </c>
      <c r="F52" s="35" t="s">
        <v>160</v>
      </c>
      <c r="G52" s="35" t="s">
        <v>174</v>
      </c>
      <c r="H52" s="35">
        <v>4</v>
      </c>
      <c r="I52" s="35">
        <v>3</v>
      </c>
      <c r="J52" s="35">
        <v>3</v>
      </c>
      <c r="K52" s="35">
        <v>1</v>
      </c>
      <c r="L52" s="54">
        <f t="shared" si="8"/>
        <v>0.5</v>
      </c>
      <c r="M52" s="54">
        <f t="shared" si="9"/>
        <v>1</v>
      </c>
      <c r="N52" s="54">
        <f t="shared" si="10"/>
        <v>1</v>
      </c>
      <c r="O52" s="54">
        <f t="shared" si="11"/>
        <v>2</v>
      </c>
      <c r="P52" s="54">
        <f t="shared" si="12"/>
        <v>3</v>
      </c>
      <c r="Q52" s="54">
        <f t="shared" si="13"/>
        <v>4.5</v>
      </c>
      <c r="R52" s="56" t="str">
        <f t="shared" si="14"/>
        <v>ALTA</v>
      </c>
      <c r="S52" s="54" t="str">
        <f t="shared" si="15"/>
        <v>3-6 meses</v>
      </c>
      <c r="T52" s="35" t="s">
        <v>90</v>
      </c>
      <c r="U52" s="35" t="s">
        <v>346</v>
      </c>
      <c r="V52" s="35" t="s">
        <v>347</v>
      </c>
      <c r="W52" s="35" t="s">
        <v>84</v>
      </c>
      <c r="X52" s="35" t="s">
        <v>252</v>
      </c>
    </row>
    <row r="53" spans="2:24" ht="45.75" customHeight="1" x14ac:dyDescent="0.3">
      <c r="B53" s="35" t="s">
        <v>245</v>
      </c>
      <c r="C53" s="35" t="s">
        <v>348</v>
      </c>
      <c r="D53" s="35" t="s">
        <v>340</v>
      </c>
      <c r="E53" s="35" t="s">
        <v>349</v>
      </c>
      <c r="F53" s="35" t="s">
        <v>160</v>
      </c>
      <c r="G53" s="35" t="s">
        <v>350</v>
      </c>
      <c r="H53" s="35">
        <v>5</v>
      </c>
      <c r="I53" s="35">
        <v>3</v>
      </c>
      <c r="J53" s="35">
        <v>2</v>
      </c>
      <c r="K53" s="35">
        <v>1</v>
      </c>
      <c r="L53" s="54">
        <f t="shared" si="8"/>
        <v>0</v>
      </c>
      <c r="M53" s="54">
        <f t="shared" si="9"/>
        <v>1</v>
      </c>
      <c r="N53" s="54">
        <f t="shared" si="10"/>
        <v>1.5</v>
      </c>
      <c r="O53" s="54">
        <f t="shared" si="11"/>
        <v>2</v>
      </c>
      <c r="P53" s="54">
        <f t="shared" si="12"/>
        <v>3</v>
      </c>
      <c r="Q53" s="54">
        <f t="shared" si="13"/>
        <v>4.5</v>
      </c>
      <c r="R53" s="56" t="str">
        <f t="shared" si="14"/>
        <v>ALTA</v>
      </c>
      <c r="S53" s="54" t="str">
        <f t="shared" si="15"/>
        <v>3-6 meses</v>
      </c>
      <c r="T53" s="35" t="s">
        <v>90</v>
      </c>
      <c r="U53" s="35" t="s">
        <v>351</v>
      </c>
      <c r="V53" s="35" t="s">
        <v>352</v>
      </c>
      <c r="W53" s="35" t="s">
        <v>149</v>
      </c>
      <c r="X53" s="35" t="s">
        <v>252</v>
      </c>
    </row>
    <row r="54" spans="2:24" ht="45.75" customHeight="1" x14ac:dyDescent="0.3">
      <c r="B54" s="35" t="s">
        <v>245</v>
      </c>
      <c r="C54" s="35" t="s">
        <v>48</v>
      </c>
      <c r="D54" s="35" t="s">
        <v>353</v>
      </c>
      <c r="E54" s="35" t="s">
        <v>354</v>
      </c>
      <c r="F54" s="35" t="s">
        <v>192</v>
      </c>
      <c r="G54" s="35" t="s">
        <v>229</v>
      </c>
      <c r="H54" s="35">
        <v>1</v>
      </c>
      <c r="I54" s="35">
        <v>1</v>
      </c>
      <c r="J54" s="35">
        <v>1</v>
      </c>
      <c r="K54" s="35">
        <v>1</v>
      </c>
      <c r="L54" s="54">
        <f t="shared" si="8"/>
        <v>2</v>
      </c>
      <c r="M54" s="54">
        <f t="shared" si="9"/>
        <v>2</v>
      </c>
      <c r="N54" s="54">
        <f t="shared" si="10"/>
        <v>2</v>
      </c>
      <c r="O54" s="54">
        <f t="shared" si="11"/>
        <v>2</v>
      </c>
      <c r="P54" s="54">
        <f t="shared" si="12"/>
        <v>4</v>
      </c>
      <c r="Q54" s="54">
        <f t="shared" si="13"/>
        <v>8</v>
      </c>
      <c r="R54" s="56" t="str">
        <f t="shared" si="14"/>
        <v>CRÍTICA</v>
      </c>
      <c r="S54" s="54" t="str">
        <f t="shared" si="15"/>
        <v>0-3 meses</v>
      </c>
      <c r="T54" s="35" t="s">
        <v>81</v>
      </c>
      <c r="U54" s="35" t="s">
        <v>355</v>
      </c>
      <c r="V54" s="35" t="s">
        <v>356</v>
      </c>
      <c r="W54" s="35" t="s">
        <v>357</v>
      </c>
      <c r="X54" s="35" t="s">
        <v>252</v>
      </c>
    </row>
    <row r="55" spans="2:24" ht="45.75" customHeight="1" x14ac:dyDescent="0.3">
      <c r="B55" s="35" t="s">
        <v>245</v>
      </c>
      <c r="C55" s="35" t="s">
        <v>61</v>
      </c>
      <c r="D55" s="35" t="s">
        <v>353</v>
      </c>
      <c r="E55" s="35" t="s">
        <v>358</v>
      </c>
      <c r="F55" s="35" t="s">
        <v>291</v>
      </c>
      <c r="G55" s="35" t="s">
        <v>359</v>
      </c>
      <c r="H55" s="35">
        <v>2</v>
      </c>
      <c r="I55" s="35">
        <v>1</v>
      </c>
      <c r="J55" s="35">
        <v>2</v>
      </c>
      <c r="K55" s="35">
        <v>1</v>
      </c>
      <c r="L55" s="54">
        <f t="shared" si="8"/>
        <v>1.5</v>
      </c>
      <c r="M55" s="54">
        <f t="shared" si="9"/>
        <v>2</v>
      </c>
      <c r="N55" s="54">
        <f t="shared" si="10"/>
        <v>1.5</v>
      </c>
      <c r="O55" s="54">
        <f t="shared" si="11"/>
        <v>2</v>
      </c>
      <c r="P55" s="54">
        <f t="shared" si="12"/>
        <v>4</v>
      </c>
      <c r="Q55" s="54">
        <f t="shared" si="13"/>
        <v>7</v>
      </c>
      <c r="R55" s="56" t="str">
        <f t="shared" si="14"/>
        <v>CRÍTICA</v>
      </c>
      <c r="S55" s="54" t="str">
        <f t="shared" si="15"/>
        <v>0-3 meses</v>
      </c>
      <c r="T55" s="35" t="s">
        <v>81</v>
      </c>
      <c r="U55" s="35" t="s">
        <v>360</v>
      </c>
      <c r="V55" s="35" t="s">
        <v>361</v>
      </c>
      <c r="W55" s="35" t="s">
        <v>149</v>
      </c>
      <c r="X55" s="35" t="s">
        <v>252</v>
      </c>
    </row>
    <row r="56" spans="2:24" ht="45.75" customHeight="1" x14ac:dyDescent="0.3">
      <c r="B56" s="35" t="s">
        <v>245</v>
      </c>
      <c r="C56" s="35" t="s">
        <v>69</v>
      </c>
      <c r="D56" s="35" t="s">
        <v>353</v>
      </c>
      <c r="E56" s="35" t="s">
        <v>362</v>
      </c>
      <c r="F56" s="35" t="s">
        <v>291</v>
      </c>
      <c r="G56" s="35" t="s">
        <v>292</v>
      </c>
      <c r="H56" s="35">
        <v>1</v>
      </c>
      <c r="I56" s="35">
        <v>1</v>
      </c>
      <c r="J56" s="35">
        <v>1</v>
      </c>
      <c r="K56" s="35">
        <v>1</v>
      </c>
      <c r="L56" s="54">
        <f t="shared" si="8"/>
        <v>2</v>
      </c>
      <c r="M56" s="54">
        <f t="shared" si="9"/>
        <v>2</v>
      </c>
      <c r="N56" s="54">
        <f t="shared" si="10"/>
        <v>2</v>
      </c>
      <c r="O56" s="54">
        <f t="shared" si="11"/>
        <v>2</v>
      </c>
      <c r="P56" s="54">
        <f t="shared" si="12"/>
        <v>4</v>
      </c>
      <c r="Q56" s="54">
        <f t="shared" si="13"/>
        <v>8</v>
      </c>
      <c r="R56" s="56" t="str">
        <f t="shared" si="14"/>
        <v>CRÍTICA</v>
      </c>
      <c r="S56" s="54" t="str">
        <f t="shared" si="15"/>
        <v>0-3 meses</v>
      </c>
      <c r="T56" s="35" t="s">
        <v>81</v>
      </c>
      <c r="U56" s="35" t="s">
        <v>363</v>
      </c>
      <c r="V56" s="35" t="s">
        <v>364</v>
      </c>
      <c r="W56" s="35" t="s">
        <v>365</v>
      </c>
      <c r="X56" s="35" t="s">
        <v>252</v>
      </c>
    </row>
    <row r="57" spans="2:24" ht="45.75" customHeight="1" x14ac:dyDescent="0.3">
      <c r="B57" s="35" t="s">
        <v>245</v>
      </c>
      <c r="C57" s="35" t="s">
        <v>77</v>
      </c>
      <c r="D57" s="35" t="s">
        <v>353</v>
      </c>
      <c r="E57" s="35" t="s">
        <v>366</v>
      </c>
      <c r="F57" s="35" t="s">
        <v>291</v>
      </c>
      <c r="G57" s="35" t="s">
        <v>292</v>
      </c>
      <c r="H57" s="35">
        <v>3</v>
      </c>
      <c r="I57" s="35">
        <v>1</v>
      </c>
      <c r="J57" s="35">
        <v>1</v>
      </c>
      <c r="K57" s="35">
        <v>1</v>
      </c>
      <c r="L57" s="54">
        <f t="shared" si="8"/>
        <v>1</v>
      </c>
      <c r="M57" s="54">
        <f t="shared" si="9"/>
        <v>2</v>
      </c>
      <c r="N57" s="54">
        <f t="shared" si="10"/>
        <v>2</v>
      </c>
      <c r="O57" s="54">
        <f t="shared" si="11"/>
        <v>2</v>
      </c>
      <c r="P57" s="54">
        <f t="shared" si="12"/>
        <v>4</v>
      </c>
      <c r="Q57" s="54">
        <f t="shared" si="13"/>
        <v>7</v>
      </c>
      <c r="R57" s="56" t="str">
        <f t="shared" si="14"/>
        <v>CRÍTICA</v>
      </c>
      <c r="S57" s="54" t="str">
        <f t="shared" si="15"/>
        <v>0-3 meses</v>
      </c>
      <c r="T57" s="35" t="s">
        <v>81</v>
      </c>
      <c r="U57" s="35" t="s">
        <v>367</v>
      </c>
      <c r="V57" s="35" t="s">
        <v>368</v>
      </c>
      <c r="W57" s="35" t="s">
        <v>365</v>
      </c>
      <c r="X57" s="35" t="s">
        <v>252</v>
      </c>
    </row>
    <row r="58" spans="2:24" ht="45.75" customHeight="1" x14ac:dyDescent="0.3">
      <c r="B58" s="35" t="s">
        <v>369</v>
      </c>
      <c r="C58" s="35" t="s">
        <v>370</v>
      </c>
      <c r="D58" s="35" t="s">
        <v>371</v>
      </c>
      <c r="E58" s="35" t="s">
        <v>372</v>
      </c>
      <c r="F58" s="35" t="s">
        <v>373</v>
      </c>
      <c r="G58" s="35" t="s">
        <v>374</v>
      </c>
      <c r="H58" s="35" t="s">
        <v>54</v>
      </c>
      <c r="I58" s="35" t="s">
        <v>53</v>
      </c>
      <c r="J58" s="35" t="s">
        <v>55</v>
      </c>
      <c r="K58" s="35" t="s">
        <v>55</v>
      </c>
      <c r="L58" s="54">
        <f t="shared" si="8"/>
        <v>0</v>
      </c>
      <c r="M58" s="54">
        <f t="shared" si="9"/>
        <v>1</v>
      </c>
      <c r="N58" s="54">
        <f t="shared" si="10"/>
        <v>2</v>
      </c>
      <c r="O58" s="54">
        <f t="shared" si="11"/>
        <v>2</v>
      </c>
      <c r="P58" s="54">
        <f t="shared" si="12"/>
        <v>3</v>
      </c>
      <c r="Q58" s="54">
        <f t="shared" si="13"/>
        <v>5</v>
      </c>
      <c r="R58" s="56" t="str">
        <f t="shared" si="14"/>
        <v>ALTA</v>
      </c>
      <c r="S58" s="54" t="str">
        <f t="shared" si="15"/>
        <v>3-6 meses</v>
      </c>
      <c r="T58" s="35" t="s">
        <v>90</v>
      </c>
      <c r="U58" s="35" t="s">
        <v>375</v>
      </c>
      <c r="V58" s="35" t="s">
        <v>376</v>
      </c>
      <c r="W58" s="35" t="s">
        <v>377</v>
      </c>
      <c r="X58" s="35" t="s">
        <v>60</v>
      </c>
    </row>
    <row r="59" spans="2:24" ht="45.75" customHeight="1" x14ac:dyDescent="0.3">
      <c r="B59" s="35" t="s">
        <v>369</v>
      </c>
      <c r="C59" s="35" t="s">
        <v>378</v>
      </c>
      <c r="D59" s="35" t="s">
        <v>371</v>
      </c>
      <c r="E59" s="35" t="s">
        <v>379</v>
      </c>
      <c r="F59" s="35" t="s">
        <v>380</v>
      </c>
      <c r="G59" s="35" t="s">
        <v>154</v>
      </c>
      <c r="H59" s="35" t="s">
        <v>54</v>
      </c>
      <c r="I59" s="35" t="s">
        <v>54</v>
      </c>
      <c r="J59" s="35" t="s">
        <v>53</v>
      </c>
      <c r="K59" s="35" t="s">
        <v>55</v>
      </c>
      <c r="L59" s="54">
        <f t="shared" si="8"/>
        <v>0</v>
      </c>
      <c r="M59" s="54">
        <f t="shared" si="9"/>
        <v>0</v>
      </c>
      <c r="N59" s="54">
        <f t="shared" si="10"/>
        <v>1</v>
      </c>
      <c r="O59" s="54">
        <f t="shared" si="11"/>
        <v>2</v>
      </c>
      <c r="P59" s="54">
        <f t="shared" si="12"/>
        <v>2</v>
      </c>
      <c r="Q59" s="54">
        <f t="shared" si="13"/>
        <v>3</v>
      </c>
      <c r="R59" s="56" t="str">
        <f t="shared" si="14"/>
        <v>MEDIA</v>
      </c>
      <c r="S59" s="54" t="str">
        <f t="shared" si="15"/>
        <v>6-9 meses</v>
      </c>
      <c r="T59" s="35" t="s">
        <v>73</v>
      </c>
      <c r="U59" s="35" t="s">
        <v>381</v>
      </c>
      <c r="V59" s="35" t="s">
        <v>382</v>
      </c>
      <c r="W59" s="35" t="s">
        <v>251</v>
      </c>
      <c r="X59" s="35" t="s">
        <v>60</v>
      </c>
    </row>
    <row r="60" spans="2:24" ht="45.75" customHeight="1" x14ac:dyDescent="0.3">
      <c r="B60" s="35" t="s">
        <v>369</v>
      </c>
      <c r="C60" s="35" t="s">
        <v>383</v>
      </c>
      <c r="D60" s="35" t="s">
        <v>371</v>
      </c>
      <c r="E60" s="35" t="s">
        <v>384</v>
      </c>
      <c r="F60" s="35" t="s">
        <v>380</v>
      </c>
      <c r="G60" s="35" t="s">
        <v>255</v>
      </c>
      <c r="H60" s="35" t="s">
        <v>54</v>
      </c>
      <c r="I60" s="35" t="s">
        <v>54</v>
      </c>
      <c r="J60" s="35" t="s">
        <v>55</v>
      </c>
      <c r="K60" s="35" t="s">
        <v>55</v>
      </c>
      <c r="L60" s="54">
        <f t="shared" si="8"/>
        <v>0</v>
      </c>
      <c r="M60" s="54">
        <f t="shared" si="9"/>
        <v>0</v>
      </c>
      <c r="N60" s="54">
        <f t="shared" si="10"/>
        <v>2</v>
      </c>
      <c r="O60" s="54">
        <f t="shared" si="11"/>
        <v>2</v>
      </c>
      <c r="P60" s="54">
        <f t="shared" si="12"/>
        <v>2</v>
      </c>
      <c r="Q60" s="54">
        <f t="shared" si="13"/>
        <v>4</v>
      </c>
      <c r="R60" s="56" t="str">
        <f t="shared" si="14"/>
        <v>ALTA</v>
      </c>
      <c r="S60" s="54" t="str">
        <f t="shared" si="15"/>
        <v>3-6 meses</v>
      </c>
      <c r="T60" s="35" t="s">
        <v>73</v>
      </c>
      <c r="U60" s="35" t="s">
        <v>385</v>
      </c>
      <c r="V60" s="35" t="s">
        <v>386</v>
      </c>
      <c r="W60" s="35" t="s">
        <v>377</v>
      </c>
      <c r="X60" s="35" t="s">
        <v>60</v>
      </c>
    </row>
    <row r="61" spans="2:24" ht="45.75" customHeight="1" x14ac:dyDescent="0.3">
      <c r="B61" s="35" t="s">
        <v>369</v>
      </c>
      <c r="C61" s="35" t="s">
        <v>387</v>
      </c>
      <c r="D61" s="35" t="s">
        <v>371</v>
      </c>
      <c r="E61" s="35" t="s">
        <v>388</v>
      </c>
      <c r="F61" s="35" t="s">
        <v>389</v>
      </c>
      <c r="G61" s="35" t="s">
        <v>390</v>
      </c>
      <c r="H61" s="35" t="s">
        <v>54</v>
      </c>
      <c r="I61" s="35" t="s">
        <v>54</v>
      </c>
      <c r="J61" s="35" t="s">
        <v>54</v>
      </c>
      <c r="K61" s="35" t="s">
        <v>55</v>
      </c>
      <c r="L61" s="54">
        <f t="shared" si="8"/>
        <v>0</v>
      </c>
      <c r="M61" s="54">
        <f t="shared" si="9"/>
        <v>0</v>
      </c>
      <c r="N61" s="54">
        <f t="shared" si="10"/>
        <v>0</v>
      </c>
      <c r="O61" s="54">
        <f t="shared" si="11"/>
        <v>2</v>
      </c>
      <c r="P61" s="54">
        <f t="shared" si="12"/>
        <v>1</v>
      </c>
      <c r="Q61" s="54">
        <f t="shared" si="13"/>
        <v>2</v>
      </c>
      <c r="R61" s="56" t="str">
        <f t="shared" si="14"/>
        <v>MEDIA</v>
      </c>
      <c r="S61" s="54" t="str">
        <f t="shared" si="15"/>
        <v>6-9 meses</v>
      </c>
      <c r="T61" s="35" t="s">
        <v>65</v>
      </c>
      <c r="U61" s="35" t="s">
        <v>391</v>
      </c>
      <c r="V61" s="35" t="s">
        <v>392</v>
      </c>
      <c r="W61" s="35" t="s">
        <v>119</v>
      </c>
      <c r="X61" s="35" t="s">
        <v>60</v>
      </c>
    </row>
    <row r="62" spans="2:24" ht="45.75" customHeight="1" x14ac:dyDescent="0.3">
      <c r="B62" s="35" t="s">
        <v>369</v>
      </c>
      <c r="C62" s="35" t="s">
        <v>393</v>
      </c>
      <c r="D62" s="35" t="s">
        <v>394</v>
      </c>
      <c r="E62" s="35" t="s">
        <v>395</v>
      </c>
      <c r="F62" s="35" t="s">
        <v>380</v>
      </c>
      <c r="G62" s="35" t="s">
        <v>52</v>
      </c>
      <c r="H62" s="35" t="s">
        <v>54</v>
      </c>
      <c r="I62" s="35" t="s">
        <v>53</v>
      </c>
      <c r="J62" s="35" t="s">
        <v>55</v>
      </c>
      <c r="K62" s="35" t="s">
        <v>53</v>
      </c>
      <c r="L62" s="54">
        <f t="shared" si="8"/>
        <v>0</v>
      </c>
      <c r="M62" s="54">
        <f t="shared" si="9"/>
        <v>1</v>
      </c>
      <c r="N62" s="54">
        <f t="shared" si="10"/>
        <v>2</v>
      </c>
      <c r="O62" s="54">
        <f t="shared" si="11"/>
        <v>1</v>
      </c>
      <c r="P62" s="54">
        <f t="shared" si="12"/>
        <v>3</v>
      </c>
      <c r="Q62" s="54">
        <f t="shared" si="13"/>
        <v>4</v>
      </c>
      <c r="R62" s="56" t="str">
        <f t="shared" si="14"/>
        <v>ALTA</v>
      </c>
      <c r="S62" s="54" t="str">
        <f t="shared" si="15"/>
        <v>3-6 meses</v>
      </c>
      <c r="T62" s="35" t="s">
        <v>90</v>
      </c>
      <c r="U62" s="35" t="s">
        <v>396</v>
      </c>
      <c r="V62" s="35" t="s">
        <v>397</v>
      </c>
      <c r="W62" s="35" t="s">
        <v>207</v>
      </c>
      <c r="X62" s="35" t="s">
        <v>60</v>
      </c>
    </row>
    <row r="63" spans="2:24" ht="45.75" customHeight="1" x14ac:dyDescent="0.3">
      <c r="B63" s="35" t="s">
        <v>369</v>
      </c>
      <c r="C63" s="35" t="s">
        <v>398</v>
      </c>
      <c r="D63" s="35" t="s">
        <v>394</v>
      </c>
      <c r="E63" s="35" t="s">
        <v>399</v>
      </c>
      <c r="F63" s="35" t="s">
        <v>380</v>
      </c>
      <c r="G63" s="35" t="s">
        <v>400</v>
      </c>
      <c r="H63" s="35" t="s">
        <v>55</v>
      </c>
      <c r="I63" s="35" t="s">
        <v>53</v>
      </c>
      <c r="J63" s="35" t="s">
        <v>55</v>
      </c>
      <c r="K63" s="35" t="s">
        <v>55</v>
      </c>
      <c r="L63" s="54">
        <f t="shared" si="8"/>
        <v>2</v>
      </c>
      <c r="M63" s="54">
        <f t="shared" si="9"/>
        <v>1</v>
      </c>
      <c r="N63" s="54">
        <f t="shared" si="10"/>
        <v>2</v>
      </c>
      <c r="O63" s="54">
        <f t="shared" si="11"/>
        <v>2</v>
      </c>
      <c r="P63" s="54">
        <f t="shared" si="12"/>
        <v>4</v>
      </c>
      <c r="Q63" s="54">
        <f t="shared" si="13"/>
        <v>7</v>
      </c>
      <c r="R63" s="56" t="str">
        <f t="shared" si="14"/>
        <v>CRÍTICA</v>
      </c>
      <c r="S63" s="54" t="str">
        <f t="shared" si="15"/>
        <v>0-3 meses</v>
      </c>
      <c r="T63" s="35" t="s">
        <v>81</v>
      </c>
      <c r="U63" s="35" t="s">
        <v>401</v>
      </c>
      <c r="V63" s="35" t="s">
        <v>402</v>
      </c>
      <c r="W63" s="35" t="s">
        <v>207</v>
      </c>
      <c r="X63" s="35" t="s">
        <v>60</v>
      </c>
    </row>
    <row r="64" spans="2:24" ht="45.75" customHeight="1" x14ac:dyDescent="0.3">
      <c r="B64" s="35" t="s">
        <v>369</v>
      </c>
      <c r="C64" s="35" t="s">
        <v>403</v>
      </c>
      <c r="D64" s="35" t="s">
        <v>394</v>
      </c>
      <c r="E64" s="35" t="s">
        <v>404</v>
      </c>
      <c r="F64" s="35" t="s">
        <v>380</v>
      </c>
      <c r="G64" s="35" t="s">
        <v>64</v>
      </c>
      <c r="H64" s="35" t="s">
        <v>54</v>
      </c>
      <c r="I64" s="35" t="s">
        <v>53</v>
      </c>
      <c r="J64" s="35" t="s">
        <v>55</v>
      </c>
      <c r="K64" s="35" t="s">
        <v>55</v>
      </c>
      <c r="L64" s="54">
        <f t="shared" si="8"/>
        <v>0</v>
      </c>
      <c r="M64" s="54">
        <f t="shared" si="9"/>
        <v>1</v>
      </c>
      <c r="N64" s="54">
        <f t="shared" si="10"/>
        <v>2</v>
      </c>
      <c r="O64" s="54">
        <f t="shared" si="11"/>
        <v>2</v>
      </c>
      <c r="P64" s="54">
        <f t="shared" si="12"/>
        <v>3</v>
      </c>
      <c r="Q64" s="54">
        <f t="shared" si="13"/>
        <v>5</v>
      </c>
      <c r="R64" s="56" t="str">
        <f t="shared" si="14"/>
        <v>ALTA</v>
      </c>
      <c r="S64" s="54" t="str">
        <f t="shared" si="15"/>
        <v>3-6 meses</v>
      </c>
      <c r="T64" s="35" t="s">
        <v>90</v>
      </c>
      <c r="U64" s="35" t="s">
        <v>405</v>
      </c>
      <c r="V64" s="35" t="s">
        <v>406</v>
      </c>
      <c r="W64" s="35" t="s">
        <v>207</v>
      </c>
      <c r="X64" s="35" t="s">
        <v>60</v>
      </c>
    </row>
    <row r="65" spans="2:24" ht="45.75" customHeight="1" x14ac:dyDescent="0.3">
      <c r="B65" s="35" t="s">
        <v>369</v>
      </c>
      <c r="C65" s="35" t="s">
        <v>407</v>
      </c>
      <c r="D65" s="35" t="s">
        <v>394</v>
      </c>
      <c r="E65" s="35" t="s">
        <v>408</v>
      </c>
      <c r="F65" s="35" t="s">
        <v>380</v>
      </c>
      <c r="G65" s="35" t="s">
        <v>409</v>
      </c>
      <c r="H65" s="35" t="s">
        <v>54</v>
      </c>
      <c r="I65" s="35" t="s">
        <v>55</v>
      </c>
      <c r="J65" s="35" t="s">
        <v>53</v>
      </c>
      <c r="K65" s="35" t="s">
        <v>55</v>
      </c>
      <c r="L65" s="54">
        <f t="shared" si="8"/>
        <v>0</v>
      </c>
      <c r="M65" s="54">
        <f t="shared" si="9"/>
        <v>2</v>
      </c>
      <c r="N65" s="54">
        <f t="shared" si="10"/>
        <v>1</v>
      </c>
      <c r="O65" s="54">
        <f t="shared" si="11"/>
        <v>2</v>
      </c>
      <c r="P65" s="54">
        <f t="shared" si="12"/>
        <v>3</v>
      </c>
      <c r="Q65" s="54">
        <f t="shared" si="13"/>
        <v>5</v>
      </c>
      <c r="R65" s="56" t="str">
        <f t="shared" si="14"/>
        <v>ALTA</v>
      </c>
      <c r="S65" s="54" t="str">
        <f t="shared" si="15"/>
        <v>3-6 meses</v>
      </c>
      <c r="T65" s="35" t="s">
        <v>90</v>
      </c>
      <c r="U65" s="35" t="s">
        <v>410</v>
      </c>
      <c r="V65" s="35" t="s">
        <v>411</v>
      </c>
      <c r="W65" s="35" t="s">
        <v>207</v>
      </c>
      <c r="X65" s="35" t="s">
        <v>60</v>
      </c>
    </row>
    <row r="66" spans="2:24" ht="45.75" customHeight="1" x14ac:dyDescent="0.3">
      <c r="B66" s="35" t="s">
        <v>369</v>
      </c>
      <c r="C66" s="35" t="s">
        <v>412</v>
      </c>
      <c r="D66" s="35" t="s">
        <v>413</v>
      </c>
      <c r="E66" s="35" t="s">
        <v>414</v>
      </c>
      <c r="F66" s="35" t="s">
        <v>380</v>
      </c>
      <c r="G66" s="35" t="s">
        <v>415</v>
      </c>
      <c r="H66" s="35" t="s">
        <v>54</v>
      </c>
      <c r="I66" s="35" t="s">
        <v>53</v>
      </c>
      <c r="J66" s="35" t="s">
        <v>55</v>
      </c>
      <c r="K66" s="35" t="s">
        <v>55</v>
      </c>
      <c r="L66" s="54">
        <f t="shared" si="8"/>
        <v>0</v>
      </c>
      <c r="M66" s="54">
        <f t="shared" si="9"/>
        <v>1</v>
      </c>
      <c r="N66" s="54">
        <f t="shared" si="10"/>
        <v>2</v>
      </c>
      <c r="O66" s="54">
        <f t="shared" si="11"/>
        <v>2</v>
      </c>
      <c r="P66" s="54">
        <f t="shared" si="12"/>
        <v>3</v>
      </c>
      <c r="Q66" s="54">
        <f t="shared" si="13"/>
        <v>5</v>
      </c>
      <c r="R66" s="56" t="str">
        <f t="shared" si="14"/>
        <v>ALTA</v>
      </c>
      <c r="S66" s="54" t="str">
        <f t="shared" si="15"/>
        <v>3-6 meses</v>
      </c>
      <c r="T66" s="35" t="s">
        <v>90</v>
      </c>
      <c r="U66" s="35" t="s">
        <v>416</v>
      </c>
      <c r="V66" s="35" t="s">
        <v>417</v>
      </c>
      <c r="W66" s="35" t="s">
        <v>207</v>
      </c>
      <c r="X66" s="35" t="s">
        <v>60</v>
      </c>
    </row>
    <row r="67" spans="2:24" ht="45.75" customHeight="1" x14ac:dyDescent="0.3">
      <c r="B67" s="35" t="s">
        <v>369</v>
      </c>
      <c r="C67" s="35" t="s">
        <v>418</v>
      </c>
      <c r="D67" s="35" t="s">
        <v>413</v>
      </c>
      <c r="E67" s="35" t="s">
        <v>419</v>
      </c>
      <c r="F67" s="35" t="s">
        <v>380</v>
      </c>
      <c r="G67" s="35" t="s">
        <v>420</v>
      </c>
      <c r="H67" s="35" t="s">
        <v>55</v>
      </c>
      <c r="I67" s="35" t="s">
        <v>53</v>
      </c>
      <c r="J67" s="35" t="s">
        <v>53</v>
      </c>
      <c r="K67" s="35" t="s">
        <v>55</v>
      </c>
      <c r="L67" s="54">
        <f t="shared" si="8"/>
        <v>2</v>
      </c>
      <c r="M67" s="54">
        <f t="shared" si="9"/>
        <v>1</v>
      </c>
      <c r="N67" s="54">
        <f t="shared" si="10"/>
        <v>1</v>
      </c>
      <c r="O67" s="54">
        <f t="shared" si="11"/>
        <v>2</v>
      </c>
      <c r="P67" s="54">
        <f t="shared" si="12"/>
        <v>4</v>
      </c>
      <c r="Q67" s="54">
        <f t="shared" si="13"/>
        <v>6</v>
      </c>
      <c r="R67" s="56" t="str">
        <f t="shared" si="14"/>
        <v>CRÍTICA</v>
      </c>
      <c r="S67" s="54" t="str">
        <f t="shared" si="15"/>
        <v>0-3 meses</v>
      </c>
      <c r="T67" s="35" t="s">
        <v>81</v>
      </c>
      <c r="U67" s="35" t="s">
        <v>421</v>
      </c>
      <c r="V67" s="35" t="s">
        <v>422</v>
      </c>
      <c r="W67" s="35" t="s">
        <v>207</v>
      </c>
      <c r="X67" s="35" t="s">
        <v>60</v>
      </c>
    </row>
    <row r="68" spans="2:24" ht="45.75" customHeight="1" x14ac:dyDescent="0.3">
      <c r="B68" s="35" t="s">
        <v>369</v>
      </c>
      <c r="C68" s="35" t="s">
        <v>423</v>
      </c>
      <c r="D68" s="35" t="s">
        <v>413</v>
      </c>
      <c r="E68" s="35" t="s">
        <v>424</v>
      </c>
      <c r="F68" s="35" t="s">
        <v>380</v>
      </c>
      <c r="G68" s="35" t="s">
        <v>425</v>
      </c>
      <c r="H68" s="35" t="s">
        <v>53</v>
      </c>
      <c r="I68" s="35" t="s">
        <v>55</v>
      </c>
      <c r="J68" s="35" t="s">
        <v>55</v>
      </c>
      <c r="K68" s="35" t="s">
        <v>55</v>
      </c>
      <c r="L68" s="54">
        <f t="shared" ref="L68:L85" si="16">IF(ISNUMBER(H68),MAX(0,2-(H68-1)*0.5),IF(H68="No",2,IF(H68="Parcial",1,0)))</f>
        <v>1</v>
      </c>
      <c r="M68" s="54">
        <f t="shared" ref="M68:M85" si="17">IF(ISNUMBER(I68),MAX(0,2-(I68-1)*0.5),IF(I68="No",2,IF(I68="Parcial",1,0)))</f>
        <v>2</v>
      </c>
      <c r="N68" s="54">
        <f t="shared" ref="N68:N85" si="18">IF(ISNUMBER(J68),MAX(0,2-(J68-1)*0.5),IF(J68="No",2,IF(J68="Parcial",1,0)))</f>
        <v>2</v>
      </c>
      <c r="O68" s="54">
        <f t="shared" ref="O68:O85" si="19">IF(ISNUMBER(K68),MAX(0,2-(K68-1)*0.5),IF(K68="No",2,IF(K68="Parcial",1,0)))</f>
        <v>2</v>
      </c>
      <c r="P68" s="54">
        <f t="shared" ref="P68:P99" si="20">COUNTIF(L68:O68,"&gt;=1")</f>
        <v>4</v>
      </c>
      <c r="Q68" s="54">
        <f t="shared" ref="Q68:Q85" si="21">SUM(L68:O68)</f>
        <v>7</v>
      </c>
      <c r="R68" s="56" t="str">
        <f t="shared" ref="R68:R99" si="22">IF(Q68&gt;=6,"CRÍTICA",IF(Q68&gt;=4,"ALTA",IF(Q68&gt;=2,"MEDIA","BAJA")))</f>
        <v>CRÍTICA</v>
      </c>
      <c r="S68" s="54" t="str">
        <f t="shared" ref="S68:S99" si="23">IF(R68="CRÍTICA","0-3 meses",IF(R68="ALTA","3-6 meses",IF(R68="MEDIA","6-9 meses","9-12 meses")))</f>
        <v>0-3 meses</v>
      </c>
      <c r="T68" s="35" t="s">
        <v>81</v>
      </c>
      <c r="U68" s="35" t="s">
        <v>426</v>
      </c>
      <c r="V68" s="35" t="s">
        <v>427</v>
      </c>
      <c r="W68" s="35" t="s">
        <v>207</v>
      </c>
      <c r="X68" s="35" t="s">
        <v>60</v>
      </c>
    </row>
    <row r="69" spans="2:24" ht="45.75" customHeight="1" x14ac:dyDescent="0.3">
      <c r="B69" s="35" t="s">
        <v>369</v>
      </c>
      <c r="C69" s="35" t="s">
        <v>428</v>
      </c>
      <c r="D69" s="35" t="s">
        <v>413</v>
      </c>
      <c r="E69" s="35" t="s">
        <v>429</v>
      </c>
      <c r="F69" s="35" t="s">
        <v>380</v>
      </c>
      <c r="G69" s="35" t="s">
        <v>430</v>
      </c>
      <c r="H69" s="35" t="s">
        <v>54</v>
      </c>
      <c r="I69" s="35" t="s">
        <v>53</v>
      </c>
      <c r="J69" s="35" t="s">
        <v>53</v>
      </c>
      <c r="K69" s="35" t="s">
        <v>55</v>
      </c>
      <c r="L69" s="54">
        <f t="shared" si="16"/>
        <v>0</v>
      </c>
      <c r="M69" s="54">
        <f t="shared" si="17"/>
        <v>1</v>
      </c>
      <c r="N69" s="54">
        <f t="shared" si="18"/>
        <v>1</v>
      </c>
      <c r="O69" s="54">
        <f t="shared" si="19"/>
        <v>2</v>
      </c>
      <c r="P69" s="54">
        <f t="shared" si="20"/>
        <v>3</v>
      </c>
      <c r="Q69" s="54">
        <f t="shared" si="21"/>
        <v>4</v>
      </c>
      <c r="R69" s="56" t="str">
        <f t="shared" si="22"/>
        <v>ALTA</v>
      </c>
      <c r="S69" s="54" t="str">
        <f t="shared" si="23"/>
        <v>3-6 meses</v>
      </c>
      <c r="T69" s="35" t="s">
        <v>90</v>
      </c>
      <c r="U69" s="35" t="s">
        <v>431</v>
      </c>
      <c r="V69" s="35" t="s">
        <v>432</v>
      </c>
      <c r="W69" s="35" t="s">
        <v>207</v>
      </c>
      <c r="X69" s="35" t="s">
        <v>60</v>
      </c>
    </row>
    <row r="70" spans="2:24" ht="45.75" customHeight="1" x14ac:dyDescent="0.3">
      <c r="B70" s="35" t="s">
        <v>369</v>
      </c>
      <c r="C70" s="35" t="s">
        <v>433</v>
      </c>
      <c r="D70" s="35" t="s">
        <v>413</v>
      </c>
      <c r="E70" s="35" t="s">
        <v>434</v>
      </c>
      <c r="F70" s="35" t="s">
        <v>380</v>
      </c>
      <c r="G70" s="35" t="s">
        <v>435</v>
      </c>
      <c r="H70" s="35" t="s">
        <v>54</v>
      </c>
      <c r="I70" s="35" t="s">
        <v>53</v>
      </c>
      <c r="J70" s="35" t="s">
        <v>55</v>
      </c>
      <c r="K70" s="35" t="s">
        <v>55</v>
      </c>
      <c r="L70" s="54">
        <f t="shared" si="16"/>
        <v>0</v>
      </c>
      <c r="M70" s="54">
        <f t="shared" si="17"/>
        <v>1</v>
      </c>
      <c r="N70" s="54">
        <f t="shared" si="18"/>
        <v>2</v>
      </c>
      <c r="O70" s="54">
        <f t="shared" si="19"/>
        <v>2</v>
      </c>
      <c r="P70" s="54">
        <f t="shared" si="20"/>
        <v>3</v>
      </c>
      <c r="Q70" s="54">
        <f t="shared" si="21"/>
        <v>5</v>
      </c>
      <c r="R70" s="56" t="str">
        <f t="shared" si="22"/>
        <v>ALTA</v>
      </c>
      <c r="S70" s="54" t="str">
        <f t="shared" si="23"/>
        <v>3-6 meses</v>
      </c>
      <c r="T70" s="35" t="s">
        <v>90</v>
      </c>
      <c r="U70" s="35" t="s">
        <v>436</v>
      </c>
      <c r="V70" s="35" t="s">
        <v>437</v>
      </c>
      <c r="W70" s="35" t="s">
        <v>438</v>
      </c>
      <c r="X70" s="35" t="s">
        <v>60</v>
      </c>
    </row>
    <row r="71" spans="2:24" ht="45.75" customHeight="1" x14ac:dyDescent="0.3">
      <c r="B71" s="35" t="s">
        <v>369</v>
      </c>
      <c r="C71" s="35" t="s">
        <v>439</v>
      </c>
      <c r="D71" s="35" t="s">
        <v>413</v>
      </c>
      <c r="E71" s="35" t="s">
        <v>440</v>
      </c>
      <c r="F71" s="35" t="s">
        <v>380</v>
      </c>
      <c r="G71" s="35" t="s">
        <v>441</v>
      </c>
      <c r="H71" s="35" t="s">
        <v>53</v>
      </c>
      <c r="I71" s="35" t="s">
        <v>53</v>
      </c>
      <c r="J71" s="35" t="s">
        <v>53</v>
      </c>
      <c r="K71" s="35" t="s">
        <v>55</v>
      </c>
      <c r="L71" s="54">
        <f t="shared" si="16"/>
        <v>1</v>
      </c>
      <c r="M71" s="54">
        <f t="shared" si="17"/>
        <v>1</v>
      </c>
      <c r="N71" s="54">
        <f t="shared" si="18"/>
        <v>1</v>
      </c>
      <c r="O71" s="54">
        <f t="shared" si="19"/>
        <v>2</v>
      </c>
      <c r="P71" s="54">
        <f t="shared" si="20"/>
        <v>4</v>
      </c>
      <c r="Q71" s="54">
        <f t="shared" si="21"/>
        <v>5</v>
      </c>
      <c r="R71" s="56" t="str">
        <f t="shared" si="22"/>
        <v>ALTA</v>
      </c>
      <c r="S71" s="54" t="str">
        <f t="shared" si="23"/>
        <v>3-6 meses</v>
      </c>
      <c r="T71" s="35" t="s">
        <v>81</v>
      </c>
      <c r="U71" s="35" t="s">
        <v>442</v>
      </c>
      <c r="V71" s="35" t="s">
        <v>443</v>
      </c>
      <c r="W71" s="35" t="s">
        <v>207</v>
      </c>
      <c r="X71" s="35" t="s">
        <v>60</v>
      </c>
    </row>
    <row r="72" spans="2:24" ht="45.75" customHeight="1" x14ac:dyDescent="0.3">
      <c r="B72" s="35" t="s">
        <v>369</v>
      </c>
      <c r="C72" s="35" t="s">
        <v>444</v>
      </c>
      <c r="D72" s="35" t="s">
        <v>445</v>
      </c>
      <c r="E72" s="35" t="s">
        <v>446</v>
      </c>
      <c r="F72" s="35" t="s">
        <v>380</v>
      </c>
      <c r="G72" s="35" t="s">
        <v>103</v>
      </c>
      <c r="H72" s="35" t="s">
        <v>55</v>
      </c>
      <c r="I72" s="35" t="s">
        <v>54</v>
      </c>
      <c r="J72" s="35" t="s">
        <v>53</v>
      </c>
      <c r="K72" s="35" t="s">
        <v>55</v>
      </c>
      <c r="L72" s="54">
        <f t="shared" si="16"/>
        <v>2</v>
      </c>
      <c r="M72" s="54">
        <f t="shared" si="17"/>
        <v>0</v>
      </c>
      <c r="N72" s="54">
        <f t="shared" si="18"/>
        <v>1</v>
      </c>
      <c r="O72" s="54">
        <f t="shared" si="19"/>
        <v>2</v>
      </c>
      <c r="P72" s="54">
        <f t="shared" si="20"/>
        <v>3</v>
      </c>
      <c r="Q72" s="54">
        <f t="shared" si="21"/>
        <v>5</v>
      </c>
      <c r="R72" s="56" t="str">
        <f t="shared" si="22"/>
        <v>ALTA</v>
      </c>
      <c r="S72" s="54" t="str">
        <f t="shared" si="23"/>
        <v>3-6 meses</v>
      </c>
      <c r="T72" s="35" t="s">
        <v>104</v>
      </c>
      <c r="U72" s="35" t="s">
        <v>447</v>
      </c>
      <c r="V72" s="35" t="s">
        <v>448</v>
      </c>
      <c r="W72" s="35" t="s">
        <v>438</v>
      </c>
      <c r="X72" s="35" t="s">
        <v>60</v>
      </c>
    </row>
    <row r="73" spans="2:24" ht="45.75" customHeight="1" x14ac:dyDescent="0.3">
      <c r="B73" s="35" t="s">
        <v>369</v>
      </c>
      <c r="C73" s="35" t="s">
        <v>449</v>
      </c>
      <c r="D73" s="35" t="s">
        <v>445</v>
      </c>
      <c r="E73" s="35" t="s">
        <v>450</v>
      </c>
      <c r="F73" s="35" t="s">
        <v>380</v>
      </c>
      <c r="G73" s="35" t="s">
        <v>451</v>
      </c>
      <c r="H73" s="35" t="s">
        <v>54</v>
      </c>
      <c r="I73" s="35" t="s">
        <v>53</v>
      </c>
      <c r="J73" s="35" t="s">
        <v>53</v>
      </c>
      <c r="K73" s="35" t="s">
        <v>55</v>
      </c>
      <c r="L73" s="54">
        <f t="shared" si="16"/>
        <v>0</v>
      </c>
      <c r="M73" s="54">
        <f t="shared" si="17"/>
        <v>1</v>
      </c>
      <c r="N73" s="54">
        <f t="shared" si="18"/>
        <v>1</v>
      </c>
      <c r="O73" s="54">
        <f t="shared" si="19"/>
        <v>2</v>
      </c>
      <c r="P73" s="54">
        <f t="shared" si="20"/>
        <v>3</v>
      </c>
      <c r="Q73" s="54">
        <f t="shared" si="21"/>
        <v>4</v>
      </c>
      <c r="R73" s="56" t="str">
        <f t="shared" si="22"/>
        <v>ALTA</v>
      </c>
      <c r="S73" s="54" t="str">
        <f t="shared" si="23"/>
        <v>3-6 meses</v>
      </c>
      <c r="T73" s="35" t="s">
        <v>90</v>
      </c>
      <c r="U73" s="35" t="s">
        <v>452</v>
      </c>
      <c r="V73" s="35" t="s">
        <v>453</v>
      </c>
      <c r="W73" s="35" t="s">
        <v>207</v>
      </c>
      <c r="X73" s="35" t="s">
        <v>60</v>
      </c>
    </row>
    <row r="74" spans="2:24" ht="45.75" customHeight="1" x14ac:dyDescent="0.3">
      <c r="B74" s="35" t="s">
        <v>369</v>
      </c>
      <c r="C74" s="35" t="s">
        <v>454</v>
      </c>
      <c r="D74" s="35" t="s">
        <v>445</v>
      </c>
      <c r="E74" s="35" t="s">
        <v>455</v>
      </c>
      <c r="F74" s="35" t="s">
        <v>380</v>
      </c>
      <c r="G74" s="35" t="s">
        <v>456</v>
      </c>
      <c r="H74" s="35" t="s">
        <v>55</v>
      </c>
      <c r="I74" s="35" t="s">
        <v>53</v>
      </c>
      <c r="J74" s="35" t="s">
        <v>55</v>
      </c>
      <c r="K74" s="35" t="s">
        <v>55</v>
      </c>
      <c r="L74" s="54">
        <f t="shared" si="16"/>
        <v>2</v>
      </c>
      <c r="M74" s="54">
        <f t="shared" si="17"/>
        <v>1</v>
      </c>
      <c r="N74" s="54">
        <f t="shared" si="18"/>
        <v>2</v>
      </c>
      <c r="O74" s="54">
        <f t="shared" si="19"/>
        <v>2</v>
      </c>
      <c r="P74" s="54">
        <f t="shared" si="20"/>
        <v>4</v>
      </c>
      <c r="Q74" s="54">
        <f t="shared" si="21"/>
        <v>7</v>
      </c>
      <c r="R74" s="56" t="str">
        <f t="shared" si="22"/>
        <v>CRÍTICA</v>
      </c>
      <c r="S74" s="54" t="str">
        <f t="shared" si="23"/>
        <v>0-3 meses</v>
      </c>
      <c r="T74" s="35" t="s">
        <v>81</v>
      </c>
      <c r="U74" s="35" t="s">
        <v>457</v>
      </c>
      <c r="V74" s="35" t="s">
        <v>458</v>
      </c>
      <c r="W74" s="35" t="s">
        <v>207</v>
      </c>
      <c r="X74" s="35" t="s">
        <v>60</v>
      </c>
    </row>
    <row r="75" spans="2:24" ht="45.75" customHeight="1" x14ac:dyDescent="0.3">
      <c r="B75" s="35" t="s">
        <v>369</v>
      </c>
      <c r="C75" s="35" t="s">
        <v>459</v>
      </c>
      <c r="D75" s="35" t="s">
        <v>445</v>
      </c>
      <c r="E75" s="35" t="s">
        <v>460</v>
      </c>
      <c r="F75" s="35" t="s">
        <v>380</v>
      </c>
      <c r="G75" s="35" t="s">
        <v>461</v>
      </c>
      <c r="H75" s="35" t="s">
        <v>54</v>
      </c>
      <c r="I75" s="35" t="s">
        <v>55</v>
      </c>
      <c r="J75" s="35" t="s">
        <v>53</v>
      </c>
      <c r="K75" s="35" t="s">
        <v>55</v>
      </c>
      <c r="L75" s="54">
        <f t="shared" si="16"/>
        <v>0</v>
      </c>
      <c r="M75" s="54">
        <f t="shared" si="17"/>
        <v>2</v>
      </c>
      <c r="N75" s="54">
        <f t="shared" si="18"/>
        <v>1</v>
      </c>
      <c r="O75" s="54">
        <f t="shared" si="19"/>
        <v>2</v>
      </c>
      <c r="P75" s="54">
        <f t="shared" si="20"/>
        <v>3</v>
      </c>
      <c r="Q75" s="54">
        <f t="shared" si="21"/>
        <v>5</v>
      </c>
      <c r="R75" s="56" t="str">
        <f t="shared" si="22"/>
        <v>ALTA</v>
      </c>
      <c r="S75" s="54" t="str">
        <f t="shared" si="23"/>
        <v>3-6 meses</v>
      </c>
      <c r="T75" s="35" t="s">
        <v>90</v>
      </c>
      <c r="U75" s="35" t="s">
        <v>462</v>
      </c>
      <c r="V75" s="35" t="s">
        <v>463</v>
      </c>
      <c r="W75" s="35" t="s">
        <v>207</v>
      </c>
      <c r="X75" s="35" t="s">
        <v>60</v>
      </c>
    </row>
    <row r="76" spans="2:24" ht="45.75" customHeight="1" x14ac:dyDescent="0.3">
      <c r="B76" s="35" t="s">
        <v>369</v>
      </c>
      <c r="C76" s="35" t="s">
        <v>464</v>
      </c>
      <c r="D76" s="35" t="s">
        <v>445</v>
      </c>
      <c r="E76" s="35" t="s">
        <v>465</v>
      </c>
      <c r="F76" s="35" t="s">
        <v>380</v>
      </c>
      <c r="G76" s="35" t="s">
        <v>466</v>
      </c>
      <c r="H76" s="35" t="s">
        <v>54</v>
      </c>
      <c r="I76" s="35" t="s">
        <v>54</v>
      </c>
      <c r="J76" s="35" t="s">
        <v>53</v>
      </c>
      <c r="K76" s="35" t="s">
        <v>55</v>
      </c>
      <c r="L76" s="54">
        <f t="shared" si="16"/>
        <v>0</v>
      </c>
      <c r="M76" s="54">
        <f t="shared" si="17"/>
        <v>0</v>
      </c>
      <c r="N76" s="54">
        <f t="shared" si="18"/>
        <v>1</v>
      </c>
      <c r="O76" s="54">
        <f t="shared" si="19"/>
        <v>2</v>
      </c>
      <c r="P76" s="54">
        <f t="shared" si="20"/>
        <v>2</v>
      </c>
      <c r="Q76" s="54">
        <f t="shared" si="21"/>
        <v>3</v>
      </c>
      <c r="R76" s="56" t="str">
        <f t="shared" si="22"/>
        <v>MEDIA</v>
      </c>
      <c r="S76" s="54" t="str">
        <f t="shared" si="23"/>
        <v>6-9 meses</v>
      </c>
      <c r="T76" s="35" t="s">
        <v>73</v>
      </c>
      <c r="U76" s="35" t="s">
        <v>467</v>
      </c>
      <c r="V76" s="35" t="s">
        <v>468</v>
      </c>
      <c r="W76" s="35" t="s">
        <v>207</v>
      </c>
      <c r="X76" s="35" t="s">
        <v>60</v>
      </c>
    </row>
    <row r="77" spans="2:24" ht="45.75" customHeight="1" x14ac:dyDescent="0.3">
      <c r="B77" s="35" t="s">
        <v>369</v>
      </c>
      <c r="C77" s="35" t="s">
        <v>469</v>
      </c>
      <c r="D77" s="35" t="s">
        <v>445</v>
      </c>
      <c r="E77" s="35" t="s">
        <v>470</v>
      </c>
      <c r="F77" s="35" t="s">
        <v>380</v>
      </c>
      <c r="G77" s="35" t="s">
        <v>471</v>
      </c>
      <c r="H77" s="35" t="s">
        <v>55</v>
      </c>
      <c r="I77" s="35" t="s">
        <v>53</v>
      </c>
      <c r="J77" s="35" t="s">
        <v>55</v>
      </c>
      <c r="K77" s="35" t="s">
        <v>55</v>
      </c>
      <c r="L77" s="54">
        <f t="shared" si="16"/>
        <v>2</v>
      </c>
      <c r="M77" s="54">
        <f t="shared" si="17"/>
        <v>1</v>
      </c>
      <c r="N77" s="54">
        <f t="shared" si="18"/>
        <v>2</v>
      </c>
      <c r="O77" s="54">
        <f t="shared" si="19"/>
        <v>2</v>
      </c>
      <c r="P77" s="54">
        <f t="shared" si="20"/>
        <v>4</v>
      </c>
      <c r="Q77" s="54">
        <f t="shared" si="21"/>
        <v>7</v>
      </c>
      <c r="R77" s="56" t="str">
        <f t="shared" si="22"/>
        <v>CRÍTICA</v>
      </c>
      <c r="S77" s="54" t="str">
        <f t="shared" si="23"/>
        <v>0-3 meses</v>
      </c>
      <c r="T77" s="35" t="s">
        <v>81</v>
      </c>
      <c r="U77" s="35" t="s">
        <v>472</v>
      </c>
      <c r="V77" s="35" t="s">
        <v>473</v>
      </c>
      <c r="W77" s="35" t="s">
        <v>207</v>
      </c>
      <c r="X77" s="35" t="s">
        <v>60</v>
      </c>
    </row>
    <row r="78" spans="2:24" ht="45.75" customHeight="1" x14ac:dyDescent="0.3">
      <c r="B78" s="35" t="s">
        <v>369</v>
      </c>
      <c r="C78" s="35" t="s">
        <v>474</v>
      </c>
      <c r="D78" s="35" t="s">
        <v>475</v>
      </c>
      <c r="E78" s="35" t="s">
        <v>476</v>
      </c>
      <c r="F78" s="35" t="s">
        <v>477</v>
      </c>
      <c r="G78" s="35" t="s">
        <v>286</v>
      </c>
      <c r="H78" s="35" t="s">
        <v>54</v>
      </c>
      <c r="I78" s="35" t="s">
        <v>55</v>
      </c>
      <c r="J78" s="35" t="s">
        <v>55</v>
      </c>
      <c r="K78" s="35" t="s">
        <v>55</v>
      </c>
      <c r="L78" s="54">
        <f t="shared" si="16"/>
        <v>0</v>
      </c>
      <c r="M78" s="54">
        <f t="shared" si="17"/>
        <v>2</v>
      </c>
      <c r="N78" s="54">
        <f t="shared" si="18"/>
        <v>2</v>
      </c>
      <c r="O78" s="54">
        <f t="shared" si="19"/>
        <v>2</v>
      </c>
      <c r="P78" s="54">
        <f t="shared" si="20"/>
        <v>3</v>
      </c>
      <c r="Q78" s="54">
        <f t="shared" si="21"/>
        <v>6</v>
      </c>
      <c r="R78" s="56" t="str">
        <f t="shared" si="22"/>
        <v>CRÍTICA</v>
      </c>
      <c r="S78" s="54" t="str">
        <f t="shared" si="23"/>
        <v>0-3 meses</v>
      </c>
      <c r="T78" s="35" t="s">
        <v>90</v>
      </c>
      <c r="U78" s="35" t="s">
        <v>478</v>
      </c>
      <c r="V78" s="35" t="s">
        <v>479</v>
      </c>
      <c r="W78" s="35" t="s">
        <v>207</v>
      </c>
      <c r="X78" s="35" t="s">
        <v>60</v>
      </c>
    </row>
    <row r="79" spans="2:24" ht="45.75" customHeight="1" x14ac:dyDescent="0.3">
      <c r="B79" s="35" t="s">
        <v>369</v>
      </c>
      <c r="C79" s="35" t="s">
        <v>480</v>
      </c>
      <c r="D79" s="35" t="s">
        <v>475</v>
      </c>
      <c r="E79" s="35" t="s">
        <v>481</v>
      </c>
      <c r="F79" s="35" t="s">
        <v>477</v>
      </c>
      <c r="G79" s="35" t="s">
        <v>359</v>
      </c>
      <c r="H79" s="35" t="s">
        <v>54</v>
      </c>
      <c r="I79" s="35" t="s">
        <v>55</v>
      </c>
      <c r="J79" s="35" t="s">
        <v>53</v>
      </c>
      <c r="K79" s="35" t="s">
        <v>55</v>
      </c>
      <c r="L79" s="54">
        <f t="shared" si="16"/>
        <v>0</v>
      </c>
      <c r="M79" s="54">
        <f t="shared" si="17"/>
        <v>2</v>
      </c>
      <c r="N79" s="54">
        <f t="shared" si="18"/>
        <v>1</v>
      </c>
      <c r="O79" s="54">
        <f t="shared" si="19"/>
        <v>2</v>
      </c>
      <c r="P79" s="54">
        <f t="shared" si="20"/>
        <v>3</v>
      </c>
      <c r="Q79" s="54">
        <f t="shared" si="21"/>
        <v>5</v>
      </c>
      <c r="R79" s="56" t="str">
        <f t="shared" si="22"/>
        <v>ALTA</v>
      </c>
      <c r="S79" s="54" t="str">
        <f t="shared" si="23"/>
        <v>3-6 meses</v>
      </c>
      <c r="T79" s="35" t="s">
        <v>90</v>
      </c>
      <c r="U79" s="35" t="s">
        <v>482</v>
      </c>
      <c r="V79" s="35" t="s">
        <v>483</v>
      </c>
      <c r="W79" s="35" t="s">
        <v>207</v>
      </c>
      <c r="X79" s="35" t="s">
        <v>60</v>
      </c>
    </row>
    <row r="80" spans="2:24" ht="45.75" customHeight="1" x14ac:dyDescent="0.3">
      <c r="B80" s="35" t="s">
        <v>369</v>
      </c>
      <c r="C80" s="35" t="s">
        <v>484</v>
      </c>
      <c r="D80" s="35" t="s">
        <v>475</v>
      </c>
      <c r="E80" s="35" t="s">
        <v>485</v>
      </c>
      <c r="F80" s="35" t="s">
        <v>380</v>
      </c>
      <c r="G80" s="35" t="s">
        <v>161</v>
      </c>
      <c r="H80" s="35" t="s">
        <v>54</v>
      </c>
      <c r="I80" s="35" t="s">
        <v>55</v>
      </c>
      <c r="J80" s="35" t="s">
        <v>55</v>
      </c>
      <c r="K80" s="35" t="s">
        <v>55</v>
      </c>
      <c r="L80" s="54">
        <f t="shared" si="16"/>
        <v>0</v>
      </c>
      <c r="M80" s="54">
        <f t="shared" si="17"/>
        <v>2</v>
      </c>
      <c r="N80" s="54">
        <f t="shared" si="18"/>
        <v>2</v>
      </c>
      <c r="O80" s="54">
        <f t="shared" si="19"/>
        <v>2</v>
      </c>
      <c r="P80" s="54">
        <f t="shared" si="20"/>
        <v>3</v>
      </c>
      <c r="Q80" s="54">
        <f t="shared" si="21"/>
        <v>6</v>
      </c>
      <c r="R80" s="56" t="str">
        <f t="shared" si="22"/>
        <v>CRÍTICA</v>
      </c>
      <c r="S80" s="54" t="str">
        <f t="shared" si="23"/>
        <v>0-3 meses</v>
      </c>
      <c r="T80" s="35" t="s">
        <v>90</v>
      </c>
      <c r="U80" s="35" t="s">
        <v>486</v>
      </c>
      <c r="V80" s="35" t="s">
        <v>487</v>
      </c>
      <c r="W80" s="35" t="s">
        <v>488</v>
      </c>
      <c r="X80" s="35" t="s">
        <v>60</v>
      </c>
    </row>
    <row r="81" spans="2:24" ht="45.75" customHeight="1" x14ac:dyDescent="0.3">
      <c r="B81" s="35" t="s">
        <v>369</v>
      </c>
      <c r="C81" s="35" t="s">
        <v>489</v>
      </c>
      <c r="D81" s="35" t="s">
        <v>475</v>
      </c>
      <c r="E81" s="35" t="s">
        <v>490</v>
      </c>
      <c r="F81" s="35" t="s">
        <v>380</v>
      </c>
      <c r="G81" s="35" t="s">
        <v>491</v>
      </c>
      <c r="H81" s="35" t="s">
        <v>54</v>
      </c>
      <c r="I81" s="35" t="s">
        <v>55</v>
      </c>
      <c r="J81" s="35" t="s">
        <v>55</v>
      </c>
      <c r="K81" s="35" t="s">
        <v>55</v>
      </c>
      <c r="L81" s="54">
        <f t="shared" si="16"/>
        <v>0</v>
      </c>
      <c r="M81" s="54">
        <f t="shared" si="17"/>
        <v>2</v>
      </c>
      <c r="N81" s="54">
        <f t="shared" si="18"/>
        <v>2</v>
      </c>
      <c r="O81" s="54">
        <f t="shared" si="19"/>
        <v>2</v>
      </c>
      <c r="P81" s="54">
        <f t="shared" si="20"/>
        <v>3</v>
      </c>
      <c r="Q81" s="54">
        <f t="shared" si="21"/>
        <v>6</v>
      </c>
      <c r="R81" s="56" t="str">
        <f t="shared" si="22"/>
        <v>CRÍTICA</v>
      </c>
      <c r="S81" s="54" t="str">
        <f t="shared" si="23"/>
        <v>0-3 meses</v>
      </c>
      <c r="T81" s="35" t="s">
        <v>90</v>
      </c>
      <c r="U81" s="35" t="s">
        <v>492</v>
      </c>
      <c r="V81" s="35" t="s">
        <v>493</v>
      </c>
      <c r="W81" s="35" t="s">
        <v>207</v>
      </c>
      <c r="X81" s="35" t="s">
        <v>60</v>
      </c>
    </row>
    <row r="82" spans="2:24" ht="45.75" customHeight="1" x14ac:dyDescent="0.3">
      <c r="B82" s="35" t="s">
        <v>369</v>
      </c>
      <c r="C82" s="35" t="s">
        <v>494</v>
      </c>
      <c r="D82" s="35" t="s">
        <v>495</v>
      </c>
      <c r="E82" s="35" t="s">
        <v>496</v>
      </c>
      <c r="F82" s="35" t="s">
        <v>497</v>
      </c>
      <c r="G82" s="35" t="s">
        <v>498</v>
      </c>
      <c r="H82" s="35" t="s">
        <v>54</v>
      </c>
      <c r="I82" s="35" t="s">
        <v>55</v>
      </c>
      <c r="J82" s="35" t="s">
        <v>53</v>
      </c>
      <c r="K82" s="35" t="s">
        <v>55</v>
      </c>
      <c r="L82" s="54">
        <f t="shared" si="16"/>
        <v>0</v>
      </c>
      <c r="M82" s="54">
        <f t="shared" si="17"/>
        <v>2</v>
      </c>
      <c r="N82" s="54">
        <f t="shared" si="18"/>
        <v>1</v>
      </c>
      <c r="O82" s="54">
        <f t="shared" si="19"/>
        <v>2</v>
      </c>
      <c r="P82" s="54">
        <f t="shared" si="20"/>
        <v>3</v>
      </c>
      <c r="Q82" s="54">
        <f t="shared" si="21"/>
        <v>5</v>
      </c>
      <c r="R82" s="56" t="str">
        <f t="shared" si="22"/>
        <v>ALTA</v>
      </c>
      <c r="S82" s="54" t="str">
        <f t="shared" si="23"/>
        <v>3-6 meses</v>
      </c>
      <c r="T82" s="35" t="s">
        <v>90</v>
      </c>
      <c r="U82" s="35" t="s">
        <v>499</v>
      </c>
      <c r="V82" s="35" t="s">
        <v>500</v>
      </c>
      <c r="W82" s="35" t="s">
        <v>501</v>
      </c>
      <c r="X82" s="35" t="s">
        <v>60</v>
      </c>
    </row>
    <row r="83" spans="2:24" ht="45.75" customHeight="1" x14ac:dyDescent="0.3">
      <c r="B83" s="35" t="s">
        <v>369</v>
      </c>
      <c r="C83" s="35" t="s">
        <v>502</v>
      </c>
      <c r="D83" s="35" t="s">
        <v>495</v>
      </c>
      <c r="E83" s="35" t="s">
        <v>503</v>
      </c>
      <c r="F83" s="35" t="s">
        <v>504</v>
      </c>
      <c r="G83" s="35" t="s">
        <v>505</v>
      </c>
      <c r="H83" s="35" t="s">
        <v>53</v>
      </c>
      <c r="I83" s="35" t="s">
        <v>55</v>
      </c>
      <c r="J83" s="35" t="s">
        <v>55</v>
      </c>
      <c r="K83" s="35" t="s">
        <v>55</v>
      </c>
      <c r="L83" s="54">
        <f t="shared" si="16"/>
        <v>1</v>
      </c>
      <c r="M83" s="54">
        <f t="shared" si="17"/>
        <v>2</v>
      </c>
      <c r="N83" s="54">
        <f t="shared" si="18"/>
        <v>2</v>
      </c>
      <c r="O83" s="54">
        <f t="shared" si="19"/>
        <v>2</v>
      </c>
      <c r="P83" s="54">
        <f t="shared" si="20"/>
        <v>4</v>
      </c>
      <c r="Q83" s="54">
        <f t="shared" si="21"/>
        <v>7</v>
      </c>
      <c r="R83" s="56" t="str">
        <f t="shared" si="22"/>
        <v>CRÍTICA</v>
      </c>
      <c r="S83" s="54" t="str">
        <f t="shared" si="23"/>
        <v>0-3 meses</v>
      </c>
      <c r="T83" s="35" t="s">
        <v>81</v>
      </c>
      <c r="U83" s="35" t="s">
        <v>506</v>
      </c>
      <c r="V83" s="35" t="s">
        <v>507</v>
      </c>
      <c r="W83" s="35" t="s">
        <v>119</v>
      </c>
      <c r="X83" s="35" t="s">
        <v>60</v>
      </c>
    </row>
    <row r="84" spans="2:24" ht="45.75" customHeight="1" x14ac:dyDescent="0.3">
      <c r="B84" s="35" t="s">
        <v>369</v>
      </c>
      <c r="C84" s="35" t="s">
        <v>508</v>
      </c>
      <c r="D84" s="35" t="s">
        <v>495</v>
      </c>
      <c r="E84" s="35" t="s">
        <v>509</v>
      </c>
      <c r="F84" s="35" t="s">
        <v>291</v>
      </c>
      <c r="G84" s="35" t="s">
        <v>307</v>
      </c>
      <c r="H84" s="35" t="s">
        <v>53</v>
      </c>
      <c r="I84" s="35" t="s">
        <v>55</v>
      </c>
      <c r="J84" s="35" t="s">
        <v>53</v>
      </c>
      <c r="K84" s="35" t="s">
        <v>55</v>
      </c>
      <c r="L84" s="54">
        <f t="shared" si="16"/>
        <v>1</v>
      </c>
      <c r="M84" s="54">
        <f t="shared" si="17"/>
        <v>2</v>
      </c>
      <c r="N84" s="54">
        <f t="shared" si="18"/>
        <v>1</v>
      </c>
      <c r="O84" s="54">
        <f t="shared" si="19"/>
        <v>2</v>
      </c>
      <c r="P84" s="54">
        <f t="shared" si="20"/>
        <v>4</v>
      </c>
      <c r="Q84" s="54">
        <f t="shared" si="21"/>
        <v>6</v>
      </c>
      <c r="R84" s="56" t="str">
        <f t="shared" si="22"/>
        <v>CRÍTICA</v>
      </c>
      <c r="S84" s="54" t="str">
        <f t="shared" si="23"/>
        <v>0-3 meses</v>
      </c>
      <c r="T84" s="35" t="s">
        <v>81</v>
      </c>
      <c r="U84" s="35" t="s">
        <v>510</v>
      </c>
      <c r="V84" s="35" t="s">
        <v>511</v>
      </c>
      <c r="W84" s="35" t="s">
        <v>119</v>
      </c>
      <c r="X84" s="35" t="s">
        <v>60</v>
      </c>
    </row>
    <row r="85" spans="2:24" ht="45.75" customHeight="1" x14ac:dyDescent="0.3">
      <c r="B85" s="35" t="s">
        <v>369</v>
      </c>
      <c r="C85" s="35" t="s">
        <v>512</v>
      </c>
      <c r="D85" s="35" t="s">
        <v>495</v>
      </c>
      <c r="E85" s="35" t="s">
        <v>513</v>
      </c>
      <c r="F85" s="35" t="s">
        <v>514</v>
      </c>
      <c r="G85" s="35" t="s">
        <v>229</v>
      </c>
      <c r="H85" s="35" t="s">
        <v>55</v>
      </c>
      <c r="I85" s="35" t="s">
        <v>54</v>
      </c>
      <c r="J85" s="35" t="s">
        <v>53</v>
      </c>
      <c r="K85" s="35" t="s">
        <v>55</v>
      </c>
      <c r="L85" s="54">
        <f t="shared" si="16"/>
        <v>2</v>
      </c>
      <c r="M85" s="54">
        <f t="shared" si="17"/>
        <v>0</v>
      </c>
      <c r="N85" s="54">
        <f t="shared" si="18"/>
        <v>1</v>
      </c>
      <c r="O85" s="54">
        <f t="shared" si="19"/>
        <v>2</v>
      </c>
      <c r="P85" s="54">
        <f t="shared" si="20"/>
        <v>3</v>
      </c>
      <c r="Q85" s="54">
        <f t="shared" si="21"/>
        <v>5</v>
      </c>
      <c r="R85" s="56" t="str">
        <f t="shared" si="22"/>
        <v>ALTA</v>
      </c>
      <c r="S85" s="54" t="str">
        <f t="shared" si="23"/>
        <v>3-6 meses</v>
      </c>
      <c r="T85" s="35" t="s">
        <v>104</v>
      </c>
      <c r="U85" s="35" t="s">
        <v>515</v>
      </c>
      <c r="V85" s="35" t="s">
        <v>516</v>
      </c>
      <c r="W85" s="35" t="s">
        <v>517</v>
      </c>
      <c r="X85" s="35" t="s">
        <v>60</v>
      </c>
    </row>
  </sheetData>
  <sheetProtection sheet="1" objects="1" scenarios="1"/>
  <autoFilter ref="B3:X85" xr:uid="{00000000-0009-0000-0000-000001000000}"/>
  <mergeCells count="1">
    <mergeCell ref="B2:X2"/>
  </mergeCells>
  <conditionalFormatting sqref="H4:K85">
    <cfRule type="cellIs" dxfId="13" priority="6" operator="equal">
      <formula>"No"</formula>
    </cfRule>
    <cfRule type="cellIs" dxfId="12" priority="7" operator="equal">
      <formula>"Parcial"</formula>
    </cfRule>
    <cfRule type="cellIs" dxfId="11" priority="8" operator="equal">
      <formula>"Sí"</formula>
    </cfRule>
    <cfRule type="cellIs" dxfId="10" priority="9" operator="lessThanOrEqual">
      <formula>2</formula>
    </cfRule>
    <cfRule type="expression" dxfId="9" priority="10">
      <formula>AND(ISNUMBER(H4)=1,H4=3)</formula>
    </cfRule>
    <cfRule type="cellIs" dxfId="8" priority="11" operator="greaterThanOrEqual">
      <formula>4</formula>
    </cfRule>
  </conditionalFormatting>
  <conditionalFormatting sqref="R4:R85">
    <cfRule type="cellIs" dxfId="7" priority="2" operator="equal">
      <formula>"CRÍTICA"</formula>
    </cfRule>
    <cfRule type="cellIs" dxfId="6" priority="3" operator="equal">
      <formula>"ALTA"</formula>
    </cfRule>
    <cfRule type="cellIs" dxfId="5" priority="4" operator="equal">
      <formula>"MEDIA"</formula>
    </cfRule>
    <cfRule type="cellIs" dxfId="4" priority="5" operator="equal">
      <formula>"BAJA"</formula>
    </cfRule>
  </conditionalFormatting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B2:H24"/>
  <sheetViews>
    <sheetView showGridLines="0" zoomScaleNormal="100" workbookViewId="0">
      <selection activeCell="I10" sqref="I10"/>
    </sheetView>
  </sheetViews>
  <sheetFormatPr baseColWidth="10" defaultColWidth="8.6328125" defaultRowHeight="14.5" x14ac:dyDescent="0.35"/>
  <cols>
    <col min="1" max="1" width="8.6328125" style="33"/>
    <col min="2" max="2" width="34" style="33" customWidth="1"/>
    <col min="3" max="5" width="16" style="33" customWidth="1"/>
    <col min="6" max="6" width="18" style="33" customWidth="1"/>
    <col min="7" max="7" width="14" style="33" customWidth="1"/>
    <col min="8" max="8" width="16" style="33" customWidth="1"/>
    <col min="9" max="16384" width="8.6328125" style="33"/>
  </cols>
  <sheetData>
    <row r="2" spans="2:8" ht="27.75" customHeight="1" x14ac:dyDescent="0.35">
      <c r="B2" s="39" t="s">
        <v>518</v>
      </c>
      <c r="C2" s="39"/>
      <c r="D2" s="39"/>
      <c r="E2" s="39"/>
      <c r="F2" s="39"/>
      <c r="G2" s="39"/>
      <c r="H2" s="39"/>
    </row>
    <row r="4" spans="2:8" ht="16" x14ac:dyDescent="0.4">
      <c r="B4" s="41" t="s">
        <v>519</v>
      </c>
      <c r="C4" s="41"/>
      <c r="D4" s="41"/>
      <c r="E4" s="41"/>
      <c r="F4" s="41"/>
      <c r="G4" s="41"/>
    </row>
    <row r="5" spans="2:8" x14ac:dyDescent="0.35">
      <c r="B5" s="42" t="s">
        <v>24</v>
      </c>
      <c r="C5" s="42" t="s">
        <v>520</v>
      </c>
      <c r="D5" s="42" t="s">
        <v>521</v>
      </c>
      <c r="E5" s="42" t="s">
        <v>522</v>
      </c>
      <c r="F5" s="42" t="s">
        <v>523</v>
      </c>
      <c r="G5" s="42" t="s">
        <v>524</v>
      </c>
    </row>
    <row r="6" spans="2:8" x14ac:dyDescent="0.35">
      <c r="B6" s="43" t="s">
        <v>47</v>
      </c>
      <c r="C6" s="44">
        <f>COUNTIFS('Matriz Consolidada'!$B$4:$B$85,$B6,'Matriz Consolidada'!$R$4:$R$85,C$5)</f>
        <v>14</v>
      </c>
      <c r="D6" s="44">
        <f>COUNTIFS('Matriz Consolidada'!$B$4:$B$85,$B6,'Matriz Consolidada'!$R$4:$R$85,D$5)</f>
        <v>11</v>
      </c>
      <c r="E6" s="44">
        <f>COUNTIFS('Matriz Consolidada'!$B$4:$B$85,$B6,'Matriz Consolidada'!$R$4:$R$85,E$5)</f>
        <v>3</v>
      </c>
      <c r="F6" s="44">
        <f>COUNTIFS('Matriz Consolidada'!$B$4:$B$85,$B6,'Matriz Consolidada'!$R$4:$R$85,F$5)</f>
        <v>1</v>
      </c>
      <c r="G6" s="45">
        <f>SUM(C6:F6)</f>
        <v>29</v>
      </c>
    </row>
    <row r="7" spans="2:8" x14ac:dyDescent="0.35">
      <c r="B7" s="43" t="s">
        <v>245</v>
      </c>
      <c r="C7" s="44">
        <f>COUNTIFS('Matriz Consolidada'!$B$4:$B$85,$B7,'Matriz Consolidada'!$R$4:$R$85,C$5)</f>
        <v>17</v>
      </c>
      <c r="D7" s="44">
        <f>COUNTIFS('Matriz Consolidada'!$B$4:$B$85,$B7,'Matriz Consolidada'!$R$4:$R$85,D$5)</f>
        <v>8</v>
      </c>
      <c r="E7" s="44">
        <f>COUNTIFS('Matriz Consolidada'!$B$4:$B$85,$B7,'Matriz Consolidada'!$R$4:$R$85,E$5)</f>
        <v>0</v>
      </c>
      <c r="F7" s="44">
        <f>COUNTIFS('Matriz Consolidada'!$B$4:$B$85,$B7,'Matriz Consolidada'!$R$4:$R$85,F$5)</f>
        <v>0</v>
      </c>
      <c r="G7" s="45">
        <f>SUM(C7:F7)</f>
        <v>25</v>
      </c>
    </row>
    <row r="8" spans="2:8" x14ac:dyDescent="0.35">
      <c r="B8" s="43" t="s">
        <v>369</v>
      </c>
      <c r="C8" s="44">
        <f>COUNTIFS('Matriz Consolidada'!$B$4:$B$85,$B8,'Matriz Consolidada'!$R$4:$R$85,C$5)</f>
        <v>10</v>
      </c>
      <c r="D8" s="44">
        <f>COUNTIFS('Matriz Consolidada'!$B$4:$B$85,$B8,'Matriz Consolidada'!$R$4:$R$85,D$5)</f>
        <v>15</v>
      </c>
      <c r="E8" s="44">
        <f>COUNTIFS('Matriz Consolidada'!$B$4:$B$85,$B8,'Matriz Consolidada'!$R$4:$R$85,E$5)</f>
        <v>3</v>
      </c>
      <c r="F8" s="44">
        <f>COUNTIFS('Matriz Consolidada'!$B$4:$B$85,$B8,'Matriz Consolidada'!$R$4:$R$85,F$5)</f>
        <v>0</v>
      </c>
      <c r="G8" s="45">
        <f>SUM(C8:F8)</f>
        <v>28</v>
      </c>
    </row>
    <row r="9" spans="2:8" x14ac:dyDescent="0.35">
      <c r="B9" s="46" t="s">
        <v>525</v>
      </c>
      <c r="C9" s="45">
        <f>SUM(C6:C8)</f>
        <v>41</v>
      </c>
      <c r="D9" s="45">
        <f>SUM(D6:D8)</f>
        <v>34</v>
      </c>
      <c r="E9" s="45">
        <f>SUM(E6:E8)</f>
        <v>6</v>
      </c>
      <c r="F9" s="45">
        <f>SUM(F6:F8)</f>
        <v>1</v>
      </c>
      <c r="G9" s="45">
        <f>SUM(G6:G8)</f>
        <v>82</v>
      </c>
    </row>
    <row r="12" spans="2:8" ht="16" x14ac:dyDescent="0.4">
      <c r="B12" s="41" t="s">
        <v>526</v>
      </c>
      <c r="C12" s="41"/>
      <c r="D12" s="41"/>
      <c r="E12" s="41"/>
      <c r="F12" s="41"/>
      <c r="G12" s="41"/>
      <c r="H12" s="41"/>
    </row>
    <row r="13" spans="2:8" ht="26.5" customHeight="1" x14ac:dyDescent="0.35">
      <c r="B13" s="40" t="s">
        <v>24</v>
      </c>
      <c r="C13" s="40" t="s">
        <v>527</v>
      </c>
      <c r="D13" s="40" t="s">
        <v>528</v>
      </c>
      <c r="E13" s="40" t="s">
        <v>529</v>
      </c>
      <c r="F13" s="40" t="s">
        <v>530</v>
      </c>
      <c r="G13" s="40" t="s">
        <v>531</v>
      </c>
    </row>
    <row r="14" spans="2:8" x14ac:dyDescent="0.35">
      <c r="B14" s="43" t="s">
        <v>47</v>
      </c>
      <c r="C14" s="44">
        <f>COUNTIFS('Matriz Consolidada'!$B$4:$B$85,$B14,'Matriz Consolidada'!$L$4:$L$85,"&gt;=1")</f>
        <v>20</v>
      </c>
      <c r="D14" s="44">
        <f>COUNTIFS('Matriz Consolidada'!$B$4:$B$85,$B14,'Matriz Consolidada'!$M$4:$M$85,"&gt;=1")</f>
        <v>21</v>
      </c>
      <c r="E14" s="44">
        <f>COUNTIFS('Matriz Consolidada'!$B$4:$B$85,$B14,'Matriz Consolidada'!$N$4:$N$85,"&gt;=1")</f>
        <v>27</v>
      </c>
      <c r="F14" s="44">
        <f>COUNTIFS('Matriz Consolidada'!$B$4:$B$85,$B14,'Matriz Consolidada'!$O$4:$O$85,"&gt;=1")</f>
        <v>27</v>
      </c>
      <c r="G14" s="45">
        <f>COUNTIF('Matriz Consolidada'!$B$4:$B$85,$B14)</f>
        <v>29</v>
      </c>
    </row>
    <row r="15" spans="2:8" x14ac:dyDescent="0.35">
      <c r="B15" s="43" t="s">
        <v>245</v>
      </c>
      <c r="C15" s="44">
        <f>COUNTIFS('Matriz Consolidada'!$B$4:$B$85,$B15,'Matriz Consolidada'!$L$4:$L$85,"&gt;=1")</f>
        <v>19</v>
      </c>
      <c r="D15" s="44">
        <f>COUNTIFS('Matriz Consolidada'!$B$4:$B$85,$B15,'Matriz Consolidada'!$M$4:$M$85,"&gt;=1")</f>
        <v>25</v>
      </c>
      <c r="E15" s="44">
        <f>COUNTIFS('Matriz Consolidada'!$B$4:$B$85,$B15,'Matriz Consolidada'!$N$4:$N$85,"&gt;=1")</f>
        <v>23</v>
      </c>
      <c r="F15" s="44">
        <f>COUNTIFS('Matriz Consolidada'!$B$4:$B$85,$B15,'Matriz Consolidada'!$O$4:$O$85,"&gt;=1")</f>
        <v>25</v>
      </c>
      <c r="G15" s="45">
        <f>COUNTIF('Matriz Consolidada'!$B$4:$B$85,$B15)</f>
        <v>25</v>
      </c>
    </row>
    <row r="16" spans="2:8" x14ac:dyDescent="0.35">
      <c r="B16" s="43" t="s">
        <v>369</v>
      </c>
      <c r="C16" s="44">
        <f>COUNTIFS('Matriz Consolidada'!$B$4:$B$85,$B16,'Matriz Consolidada'!$L$4:$L$85,"&gt;=1")</f>
        <v>10</v>
      </c>
      <c r="D16" s="44">
        <f>COUNTIFS('Matriz Consolidada'!$B$4:$B$85,$B16,'Matriz Consolidada'!$M$4:$M$85,"&gt;=1")</f>
        <v>22</v>
      </c>
      <c r="E16" s="44">
        <f>COUNTIFS('Matriz Consolidada'!$B$4:$B$85,$B16,'Matriz Consolidada'!$N$4:$N$85,"&gt;=1")</f>
        <v>27</v>
      </c>
      <c r="F16" s="44">
        <f>COUNTIFS('Matriz Consolidada'!$B$4:$B$85,$B16,'Matriz Consolidada'!$O$4:$O$85,"&gt;=1")</f>
        <v>28</v>
      </c>
      <c r="G16" s="45">
        <f>COUNTIF('Matriz Consolidada'!$B$4:$B$85,$B16)</f>
        <v>28</v>
      </c>
    </row>
    <row r="19" spans="2:8" ht="16" x14ac:dyDescent="0.4">
      <c r="B19" s="41" t="s">
        <v>532</v>
      </c>
      <c r="C19" s="41"/>
      <c r="D19" s="41"/>
      <c r="E19" s="41"/>
      <c r="F19" s="41"/>
      <c r="G19" s="41"/>
      <c r="H19" s="41"/>
    </row>
    <row r="20" spans="2:8" ht="26.5" x14ac:dyDescent="0.35">
      <c r="B20" s="40" t="s">
        <v>533</v>
      </c>
      <c r="C20" s="40" t="s">
        <v>534</v>
      </c>
      <c r="D20" s="40" t="s">
        <v>535</v>
      </c>
      <c r="E20" s="40" t="s">
        <v>536</v>
      </c>
      <c r="F20" s="40" t="s">
        <v>537</v>
      </c>
      <c r="G20" s="40" t="s">
        <v>538</v>
      </c>
      <c r="H20" s="40" t="s">
        <v>539</v>
      </c>
    </row>
    <row r="21" spans="2:8" x14ac:dyDescent="0.35">
      <c r="B21" s="46" t="s">
        <v>527</v>
      </c>
      <c r="C21" s="47">
        <v>0.44827586206896602</v>
      </c>
      <c r="D21" s="47">
        <v>0.48799999999999999</v>
      </c>
      <c r="E21" s="47">
        <v>0.71428571428571397</v>
      </c>
      <c r="F21" s="47">
        <v>0.55018719211822698</v>
      </c>
      <c r="G21" s="48">
        <v>1</v>
      </c>
      <c r="H21" s="49">
        <f>G21-F21</f>
        <v>0.44981280788177302</v>
      </c>
    </row>
    <row r="22" spans="2:8" x14ac:dyDescent="0.35">
      <c r="B22" s="46" t="s">
        <v>528</v>
      </c>
      <c r="C22" s="47">
        <v>0.31034482758620702</v>
      </c>
      <c r="D22" s="47">
        <v>0.32800000000000001</v>
      </c>
      <c r="E22" s="47">
        <v>0.42857142857142899</v>
      </c>
      <c r="F22" s="47">
        <v>0.35563875205254503</v>
      </c>
      <c r="G22" s="48">
        <v>1</v>
      </c>
      <c r="H22" s="49">
        <f>G22-F22</f>
        <v>0.64436124794745497</v>
      </c>
    </row>
    <row r="23" spans="2:8" x14ac:dyDescent="0.35">
      <c r="B23" s="46" t="s">
        <v>529</v>
      </c>
      <c r="C23" s="47">
        <v>0.31034482758620702</v>
      </c>
      <c r="D23" s="47">
        <v>0.376</v>
      </c>
      <c r="E23" s="47">
        <v>0.26785714285714302</v>
      </c>
      <c r="F23" s="47">
        <v>0.31806732348111699</v>
      </c>
      <c r="G23" s="48">
        <v>1</v>
      </c>
      <c r="H23" s="49">
        <f>G23-F23</f>
        <v>0.68193267651888301</v>
      </c>
    </row>
    <row r="24" spans="2:8" x14ac:dyDescent="0.35">
      <c r="B24" s="46" t="s">
        <v>530</v>
      </c>
      <c r="C24" s="47">
        <v>0.12068965517241401</v>
      </c>
      <c r="D24" s="47">
        <v>0.216</v>
      </c>
      <c r="E24" s="47">
        <v>1.7857142857142901E-2</v>
      </c>
      <c r="F24" s="47">
        <v>0.118182266009852</v>
      </c>
      <c r="G24" s="48">
        <v>1</v>
      </c>
      <c r="H24" s="49">
        <f>G24-F24</f>
        <v>0.88181773399014796</v>
      </c>
    </row>
  </sheetData>
  <sheetProtection sheet="1" objects="1" scenarios="1"/>
  <mergeCells count="4">
    <mergeCell ref="B2:H2"/>
    <mergeCell ref="B4:G4"/>
    <mergeCell ref="B12:H12"/>
    <mergeCell ref="B19:H19"/>
  </mergeCells>
  <conditionalFormatting sqref="C21:F24">
    <cfRule type="expression" dxfId="3" priority="2">
      <formula>C21&lt;0.3</formula>
    </cfRule>
    <cfRule type="expression" dxfId="2" priority="3">
      <formula>AND(C21&gt;=0.3,C21&lt;0.6)</formula>
    </cfRule>
    <cfRule type="expression" dxfId="1" priority="4">
      <formula>C21&gt;=0.6</formula>
    </cfRule>
  </conditionalFormatting>
  <pageMargins left="0.3" right="0.3" top="0.4" bottom="0.4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B2:H11"/>
  <sheetViews>
    <sheetView showGridLines="0" zoomScaleNormal="100" workbookViewId="0">
      <selection activeCell="J8" sqref="J8"/>
    </sheetView>
  </sheetViews>
  <sheetFormatPr baseColWidth="10" defaultColWidth="8.6328125" defaultRowHeight="14.5" x14ac:dyDescent="0.35"/>
  <cols>
    <col min="1" max="1" width="8.6328125" style="33"/>
    <col min="2" max="2" width="26" style="33" customWidth="1"/>
    <col min="3" max="6" width="16" style="33" customWidth="1"/>
    <col min="7" max="7" width="24.90625" style="33" customWidth="1"/>
    <col min="8" max="16384" width="8.6328125" style="33"/>
  </cols>
  <sheetData>
    <row r="2" spans="2:8" ht="27.75" customHeight="1" x14ac:dyDescent="0.35">
      <c r="B2" s="39" t="s">
        <v>540</v>
      </c>
      <c r="C2" s="39"/>
      <c r="D2" s="39"/>
      <c r="E2" s="39"/>
      <c r="F2" s="39"/>
      <c r="G2" s="39"/>
      <c r="H2" s="39"/>
    </row>
    <row r="3" spans="2:8" ht="15.75" customHeight="1" x14ac:dyDescent="0.35">
      <c r="B3" s="50" t="s">
        <v>541</v>
      </c>
      <c r="C3" s="50"/>
      <c r="D3" s="50"/>
      <c r="E3" s="50"/>
      <c r="F3" s="50"/>
      <c r="G3" s="50"/>
      <c r="H3" s="50"/>
    </row>
    <row r="5" spans="2:8" ht="26.5" x14ac:dyDescent="0.35">
      <c r="B5" s="51" t="s">
        <v>542</v>
      </c>
      <c r="C5" s="52">
        <v>82</v>
      </c>
    </row>
    <row r="7" spans="2:8" ht="43.5" customHeight="1" x14ac:dyDescent="0.35">
      <c r="B7" s="40" t="s">
        <v>543</v>
      </c>
      <c r="C7" s="40" t="s">
        <v>544</v>
      </c>
      <c r="D7" s="40" t="s">
        <v>545</v>
      </c>
      <c r="E7" s="40" t="s">
        <v>546</v>
      </c>
      <c r="F7" s="40" t="s">
        <v>547</v>
      </c>
      <c r="G7" s="40" t="s">
        <v>548</v>
      </c>
    </row>
    <row r="8" spans="2:8" x14ac:dyDescent="0.35">
      <c r="B8" s="43" t="s">
        <v>549</v>
      </c>
      <c r="C8" s="44">
        <f>COUNTIFS('Matriz Consolidada'!$S$4:$S$85,"0-3 meses",'Matriz Consolidada'!$L$4:$L$85,"&gt;=1")</f>
        <v>38</v>
      </c>
      <c r="D8" s="44">
        <f>COUNTIFS('Matriz Consolidada'!$S$4:$S$85,"0-3 meses",'Matriz Consolidada'!$M$4:$M$85,"&gt;=1")</f>
        <v>41</v>
      </c>
      <c r="E8" s="44">
        <f>COUNTIFS('Matriz Consolidada'!$S$4:$S$85,"0-3 meses",'Matriz Consolidada'!$N$4:$N$85,"&gt;=1")</f>
        <v>41</v>
      </c>
      <c r="F8" s="44">
        <f>COUNTIFS('Matriz Consolidada'!$S$4:$S$85,"0-3 meses",'Matriz Consolidada'!$O$4:$O$85,"&gt;=1")</f>
        <v>40</v>
      </c>
      <c r="G8" s="53">
        <f>AVERAGE(((82-(SUM('Resumen Ejecutivo'!C14:C16)-SUM(C$8:C8)))/82),((82-(SUM('Resumen Ejecutivo'!D14:D16)-SUM(D$8:D8)))/82),((82-(SUM('Resumen Ejecutivo'!E14:E16)-SUM(E$8:E8)))/82),((82-(SUM('Resumen Ejecutivo'!F14:F16)-SUM(F$8:F8)))/82))</f>
        <v>0.65243902439024393</v>
      </c>
    </row>
    <row r="9" spans="2:8" x14ac:dyDescent="0.35">
      <c r="B9" s="43" t="s">
        <v>550</v>
      </c>
      <c r="C9" s="44">
        <f>COUNTIFS('Matriz Consolidada'!$S$4:$S$85,"3-6 meses",'Matriz Consolidada'!$L$4:$L$85,"&gt;=1")</f>
        <v>10</v>
      </c>
      <c r="D9" s="44">
        <f>COUNTIFS('Matriz Consolidada'!$S$4:$S$85,"3-6 meses",'Matriz Consolidada'!$M$4:$M$85,"&gt;=1")</f>
        <v>27</v>
      </c>
      <c r="E9" s="44">
        <f>COUNTIFS('Matriz Consolidada'!$S$4:$S$85,"3-6 meses",'Matriz Consolidada'!$N$4:$N$85,"&gt;=1")</f>
        <v>32</v>
      </c>
      <c r="F9" s="44">
        <f>COUNTIFS('Matriz Consolidada'!$S$4:$S$85,"3-6 meses",'Matriz Consolidada'!$O$4:$O$85,"&gt;=1")</f>
        <v>33</v>
      </c>
      <c r="G9" s="53">
        <f>AVERAGE(((82-(SUM('Resumen Ejecutivo'!C14:C16)-SUM(C$8:C9)))/82),((82-(SUM('Resumen Ejecutivo'!D14:D16)-SUM(D$8:D9)))/82),((82-(SUM('Resumen Ejecutivo'!E14:E16)-SUM(E$8:E9)))/82),((82-(SUM('Resumen Ejecutivo'!F14:F16)-SUM(F$8:F9)))/82))</f>
        <v>0.96341463414634143</v>
      </c>
    </row>
    <row r="10" spans="2:8" x14ac:dyDescent="0.35">
      <c r="B10" s="43" t="s">
        <v>551</v>
      </c>
      <c r="C10" s="44">
        <f>COUNTIFS('Matriz Consolidada'!$S$4:$S$85,"6-9 meses",'Matriz Consolidada'!$L$4:$L$85,"&gt;=1")</f>
        <v>1</v>
      </c>
      <c r="D10" s="44">
        <f>COUNTIFS('Matriz Consolidada'!$S$4:$S$85,"6-9 meses",'Matriz Consolidada'!$M$4:$M$85,"&gt;=1")</f>
        <v>0</v>
      </c>
      <c r="E10" s="44">
        <f>COUNTIFS('Matriz Consolidada'!$S$4:$S$85,"6-9 meses",'Matriz Consolidada'!$N$4:$N$85,"&gt;=1")</f>
        <v>4</v>
      </c>
      <c r="F10" s="44">
        <f>COUNTIFS('Matriz Consolidada'!$S$4:$S$85,"6-9 meses",'Matriz Consolidada'!$O$4:$O$85,"&gt;=1")</f>
        <v>6</v>
      </c>
      <c r="G10" s="53">
        <f>AVERAGE(((82-(SUM('Resumen Ejecutivo'!C14:C16)-SUM(C$8:C10)))/82),((82-(SUM('Resumen Ejecutivo'!D14:D16)-SUM(D$8:D10)))/82),((82-(SUM('Resumen Ejecutivo'!E14:E16)-SUM(E$8:E10)))/82),((82-(SUM('Resumen Ejecutivo'!F14:F16)-SUM(F$8:F10)))/82))</f>
        <v>0.99695121951219512</v>
      </c>
    </row>
    <row r="11" spans="2:8" x14ac:dyDescent="0.35">
      <c r="B11" s="43" t="s">
        <v>552</v>
      </c>
      <c r="C11" s="44">
        <f>COUNTIFS('Matriz Consolidada'!$S$4:$S$85,"9-12 meses",'Matriz Consolidada'!$L$4:$L$85,"&gt;=1")</f>
        <v>0</v>
      </c>
      <c r="D11" s="44">
        <f>COUNTIFS('Matriz Consolidada'!$S$4:$S$85,"9-12 meses",'Matriz Consolidada'!$M$4:$M$85,"&gt;=1")</f>
        <v>0</v>
      </c>
      <c r="E11" s="44">
        <f>COUNTIFS('Matriz Consolidada'!$S$4:$S$85,"9-12 meses",'Matriz Consolidada'!$N$4:$N$85,"&gt;=1")</f>
        <v>0</v>
      </c>
      <c r="F11" s="44">
        <f>COUNTIFS('Matriz Consolidada'!$S$4:$S$85,"9-12 meses",'Matriz Consolidada'!$O$4:$O$85,"&gt;=1")</f>
        <v>1</v>
      </c>
      <c r="G11" s="53">
        <f>AVERAGE(((82-(SUM('Resumen Ejecutivo'!C14:C16)-SUM(C$8:C11)))/82),((82-(SUM('Resumen Ejecutivo'!D14:D16)-SUM(D$8:D11)))/82),((82-(SUM('Resumen Ejecutivo'!E14:E16)-SUM(E$8:E11)))/82),((82-(SUM('Resumen Ejecutivo'!F14:F16)-SUM(F$8:F11)))/82))</f>
        <v>1</v>
      </c>
    </row>
  </sheetData>
  <sheetProtection sheet="1" objects="1" scenarios="1"/>
  <mergeCells count="2">
    <mergeCell ref="B2:H2"/>
    <mergeCell ref="B3:H3"/>
  </mergeCells>
  <conditionalFormatting sqref="G8:G11">
    <cfRule type="expression" dxfId="0" priority="2">
      <formula>G8&gt;=0.9</formula>
    </cfRule>
  </conditionalFormatting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B2:G55"/>
  <sheetViews>
    <sheetView showGridLines="0" zoomScaleNormal="100" workbookViewId="0">
      <selection activeCell="J8" sqref="J8"/>
    </sheetView>
  </sheetViews>
  <sheetFormatPr baseColWidth="10" defaultColWidth="8.6328125" defaultRowHeight="14.5" x14ac:dyDescent="0.35"/>
  <cols>
    <col min="1" max="1" width="8.6328125" style="33"/>
    <col min="2" max="2" width="58" style="33" customWidth="1"/>
    <col min="3" max="3" width="12" style="33" customWidth="1"/>
    <col min="4" max="7" width="10" style="33" customWidth="1"/>
    <col min="8" max="16384" width="8.6328125" style="33"/>
  </cols>
  <sheetData>
    <row r="2" spans="2:7" ht="27.75" customHeight="1" x14ac:dyDescent="0.35">
      <c r="B2" s="39" t="s">
        <v>575</v>
      </c>
      <c r="C2" s="39"/>
      <c r="D2" s="39"/>
      <c r="E2" s="39"/>
      <c r="F2" s="39"/>
    </row>
    <row r="4" spans="2:7" ht="26.5" x14ac:dyDescent="0.35">
      <c r="B4" s="40" t="s">
        <v>29</v>
      </c>
      <c r="C4" s="40" t="s">
        <v>553</v>
      </c>
      <c r="D4" s="40" t="s">
        <v>554</v>
      </c>
      <c r="E4" s="40" t="s">
        <v>555</v>
      </c>
      <c r="F4" s="40" t="s">
        <v>556</v>
      </c>
      <c r="G4" s="40" t="s">
        <v>557</v>
      </c>
    </row>
    <row r="5" spans="2:7" ht="24" customHeight="1" x14ac:dyDescent="0.35">
      <c r="B5" s="35" t="s">
        <v>52</v>
      </c>
      <c r="C5" s="54">
        <f>COUNTIF('Matriz Consolidada'!$G$4:$G$85,"A.5.9 Inventario de información y otros activos asociados")</f>
        <v>3</v>
      </c>
      <c r="D5" s="54">
        <f>COUNTIFS('Matriz Consolidada'!$G$4:$G$85,"A.5.9 Inventario de información y otros activos asociados",'Matriz Consolidada'!$L$4:$L$85,"&gt;=1")</f>
        <v>2</v>
      </c>
      <c r="E5" s="54">
        <f>COUNTIFS('Matriz Consolidada'!$G$4:$G$85,"A.5.9 Inventario de información y otros activos asociados",'Matriz Consolidada'!$M$4:$M$85,"&gt;=1")</f>
        <v>2</v>
      </c>
      <c r="F5" s="54">
        <f>COUNTIFS('Matriz Consolidada'!$G$4:$G$85,"A.5.9 Inventario de información y otros activos asociados",'Matriz Consolidada'!$N$4:$N$85,"&gt;=1")</f>
        <v>2</v>
      </c>
      <c r="G5" s="54">
        <f>COUNTIFS('Matriz Consolidada'!$G$4:$G$85,"A.5.9 Inventario de información y otros activos asociados",'Matriz Consolidada'!$O$4:$O$85,"&gt;=1")</f>
        <v>3</v>
      </c>
    </row>
    <row r="6" spans="2:7" ht="24" customHeight="1" x14ac:dyDescent="0.35">
      <c r="B6" s="35" t="s">
        <v>64</v>
      </c>
      <c r="C6" s="54">
        <f>COUNTIF('Matriz Consolidada'!$G$4:$G$85,"A.5.12 Clasificación de la información")</f>
        <v>2</v>
      </c>
      <c r="D6" s="54">
        <f>COUNTIFS('Matriz Consolidada'!$G$4:$G$85,"A.5.12 Clasificación de la información",'Matriz Consolidada'!$L$4:$L$85,"&gt;=1")</f>
        <v>0</v>
      </c>
      <c r="E6" s="54">
        <f>COUNTIFS('Matriz Consolidada'!$G$4:$G$85,"A.5.12 Clasificación de la información",'Matriz Consolidada'!$M$4:$M$85,"&gt;=1")</f>
        <v>1</v>
      </c>
      <c r="F6" s="54">
        <f>COUNTIFS('Matriz Consolidada'!$G$4:$G$85,"A.5.12 Clasificación de la información",'Matriz Consolidada'!$N$4:$N$85,"&gt;=1")</f>
        <v>1</v>
      </c>
      <c r="G6" s="54">
        <f>COUNTIFS('Matriz Consolidada'!$G$4:$G$85,"A.5.12 Clasificación de la información",'Matriz Consolidada'!$O$4:$O$85,"&gt;=1")</f>
        <v>2</v>
      </c>
    </row>
    <row r="7" spans="2:7" ht="24" customHeight="1" x14ac:dyDescent="0.35">
      <c r="B7" s="35" t="s">
        <v>72</v>
      </c>
      <c r="C7" s="54">
        <f>COUNTIF('Matriz Consolidada'!$G$4:$G$85,"A.5.33 Protección de los registros")</f>
        <v>1</v>
      </c>
      <c r="D7" s="54">
        <f>COUNTIFS('Matriz Consolidada'!$G$4:$G$85,"A.5.33 Protección de los registros",'Matriz Consolidada'!$L$4:$L$85,"&gt;=1")</f>
        <v>0</v>
      </c>
      <c r="E7" s="54">
        <f>COUNTIFS('Matriz Consolidada'!$G$4:$G$85,"A.5.33 Protección de los registros",'Matriz Consolidada'!$M$4:$M$85,"&gt;=1")</f>
        <v>0</v>
      </c>
      <c r="F7" s="54">
        <f>COUNTIFS('Matriz Consolidada'!$G$4:$G$85,"A.5.33 Protección de los registros",'Matriz Consolidada'!$N$4:$N$85,"&gt;=1")</f>
        <v>1</v>
      </c>
      <c r="G7" s="54">
        <f>COUNTIFS('Matriz Consolidada'!$G$4:$G$85,"A.5.33 Protección de los registros",'Matriz Consolidada'!$O$4:$O$85,"&gt;=1")</f>
        <v>1</v>
      </c>
    </row>
    <row r="8" spans="2:7" ht="24" customHeight="1" x14ac:dyDescent="0.35">
      <c r="B8" s="35" t="s">
        <v>80</v>
      </c>
      <c r="C8" s="54">
        <f>COUNTIF('Matriz Consolidada'!$G$4:$G$85,"A.5.9 / A.8.1 Dispositivos de usuario final")</f>
        <v>1</v>
      </c>
      <c r="D8" s="54">
        <f>COUNTIFS('Matriz Consolidada'!$G$4:$G$85,"A.5.9 / A.8.1 Dispositivos de usuario final",'Matriz Consolidada'!$L$4:$L$85,"&gt;=1")</f>
        <v>1</v>
      </c>
      <c r="E8" s="54">
        <f>COUNTIFS('Matriz Consolidada'!$G$4:$G$85,"A.5.9 / A.8.1 Dispositivos de usuario final",'Matriz Consolidada'!$M$4:$M$85,"&gt;=1")</f>
        <v>1</v>
      </c>
      <c r="F8" s="54">
        <f>COUNTIFS('Matriz Consolidada'!$G$4:$G$85,"A.5.9 / A.8.1 Dispositivos de usuario final",'Matriz Consolidada'!$N$4:$N$85,"&gt;=1")</f>
        <v>1</v>
      </c>
      <c r="G8" s="54">
        <f>COUNTIFS('Matriz Consolidada'!$G$4:$G$85,"A.5.9 / A.8.1 Dispositivos de usuario final",'Matriz Consolidada'!$O$4:$O$85,"&gt;=1")</f>
        <v>1</v>
      </c>
    </row>
    <row r="9" spans="2:7" ht="24" customHeight="1" x14ac:dyDescent="0.35">
      <c r="B9" s="35" t="s">
        <v>89</v>
      </c>
      <c r="C9" s="54">
        <f>COUNTIF('Matriz Consolidada'!$G$4:$G$85,"A.5.34 Privacidad y protección de datos personales (PII)")</f>
        <v>9</v>
      </c>
      <c r="D9" s="54">
        <f>COUNTIFS('Matriz Consolidada'!$G$4:$G$85,"A.5.34 Privacidad y protección de datos personales (PII)",'Matriz Consolidada'!$L$4:$L$85,"&gt;=1")</f>
        <v>7</v>
      </c>
      <c r="E9" s="54">
        <f>COUNTIFS('Matriz Consolidada'!$G$4:$G$85,"A.5.34 Privacidad y protección de datos personales (PII)",'Matriz Consolidada'!$M$4:$M$85,"&gt;=1")</f>
        <v>6</v>
      </c>
      <c r="F9" s="54">
        <f>COUNTIFS('Matriz Consolidada'!$G$4:$G$85,"A.5.34 Privacidad y protección de datos personales (PII)",'Matriz Consolidada'!$N$4:$N$85,"&gt;=1")</f>
        <v>9</v>
      </c>
      <c r="G9" s="54">
        <f>COUNTIFS('Matriz Consolidada'!$G$4:$G$85,"A.5.34 Privacidad y protección de datos personales (PII)",'Matriz Consolidada'!$O$4:$O$85,"&gt;=1")</f>
        <v>9</v>
      </c>
    </row>
    <row r="10" spans="2:7" ht="24" customHeight="1" x14ac:dyDescent="0.35">
      <c r="B10" s="35" t="s">
        <v>103</v>
      </c>
      <c r="C10" s="54">
        <f>COUNTIF('Matriz Consolidada'!$G$4:$G$85,"A.5.1 Políticas de seguridad de la información")</f>
        <v>3</v>
      </c>
      <c r="D10" s="54">
        <f>COUNTIFS('Matriz Consolidada'!$G$4:$G$85,"A.5.1 Políticas de seguridad de la información",'Matriz Consolidada'!$L$4:$L$85,"&gt;=1")</f>
        <v>3</v>
      </c>
      <c r="E10" s="54">
        <f>COUNTIFS('Matriz Consolidada'!$G$4:$G$85,"A.5.1 Políticas de seguridad de la información",'Matriz Consolidada'!$M$4:$M$85,"&gt;=1")</f>
        <v>1</v>
      </c>
      <c r="F10" s="54">
        <f>COUNTIFS('Matriz Consolidada'!$G$4:$G$85,"A.5.1 Políticas de seguridad de la información",'Matriz Consolidada'!$N$4:$N$85,"&gt;=1")</f>
        <v>3</v>
      </c>
      <c r="G10" s="54">
        <f>COUNTIFS('Matriz Consolidada'!$G$4:$G$85,"A.5.1 Políticas de seguridad de la información",'Matriz Consolidada'!$O$4:$O$85,"&gt;=1")</f>
        <v>3</v>
      </c>
    </row>
    <row r="11" spans="2:7" ht="24" customHeight="1" x14ac:dyDescent="0.35">
      <c r="B11" s="35" t="s">
        <v>145</v>
      </c>
      <c r="C11" s="54">
        <f>COUNTIF('Matriz Consolidada'!$G$4:$G$85,"A.5.34 / A.9.1 Monitoreo, medición, análisis y evaluación (cláusula 9.1)")</f>
        <v>1</v>
      </c>
      <c r="D11" s="54">
        <f>COUNTIFS('Matriz Consolidada'!$G$4:$G$85,"A.5.34 / A.9.1 Monitoreo, medición, análisis y evaluación (cláusula 9.1)",'Matriz Consolidada'!$L$4:$L$85,"&gt;=1")</f>
        <v>1</v>
      </c>
      <c r="E11" s="54">
        <f>COUNTIFS('Matriz Consolidada'!$G$4:$G$85,"A.5.34 / A.9.1 Monitoreo, medición, análisis y evaluación (cláusula 9.1)",'Matriz Consolidada'!$M$4:$M$85,"&gt;=1")</f>
        <v>1</v>
      </c>
      <c r="F11" s="54">
        <f>COUNTIFS('Matriz Consolidada'!$G$4:$G$85,"A.5.34 / A.9.1 Monitoreo, medición, análisis y evaluación (cláusula 9.1)",'Matriz Consolidada'!$N$4:$N$85,"&gt;=1")</f>
        <v>1</v>
      </c>
      <c r="G11" s="54">
        <f>COUNTIFS('Matriz Consolidada'!$G$4:$G$85,"A.5.34 / A.9.1 Monitoreo, medición, análisis y evaluación (cláusula 9.1)",'Matriz Consolidada'!$O$4:$O$85,"&gt;=1")</f>
        <v>0</v>
      </c>
    </row>
    <row r="12" spans="2:7" ht="24" customHeight="1" x14ac:dyDescent="0.35">
      <c r="B12" s="35" t="s">
        <v>154</v>
      </c>
      <c r="C12" s="54">
        <f>COUNTIF('Matriz Consolidada'!$G$4:$G$85,"A.5.2 Roles y responsabilidades de seguridad de la información")</f>
        <v>3</v>
      </c>
      <c r="D12" s="54">
        <f>COUNTIFS('Matriz Consolidada'!$G$4:$G$85,"A.5.2 Roles y responsabilidades de seguridad de la información",'Matriz Consolidada'!$L$4:$L$85,"&gt;=1")</f>
        <v>2</v>
      </c>
      <c r="E12" s="54">
        <f>COUNTIFS('Matriz Consolidada'!$G$4:$G$85,"A.5.2 Roles y responsabilidades de seguridad de la información",'Matriz Consolidada'!$M$4:$M$85,"&gt;=1")</f>
        <v>2</v>
      </c>
      <c r="F12" s="54">
        <f>COUNTIFS('Matriz Consolidada'!$G$4:$G$85,"A.5.2 Roles y responsabilidades de seguridad de la información",'Matriz Consolidada'!$N$4:$N$85,"&gt;=1")</f>
        <v>3</v>
      </c>
      <c r="G12" s="54">
        <f>COUNTIFS('Matriz Consolidada'!$G$4:$G$85,"A.5.2 Roles y responsabilidades de seguridad de la información",'Matriz Consolidada'!$O$4:$O$85,"&gt;=1")</f>
        <v>2</v>
      </c>
    </row>
    <row r="13" spans="2:7" ht="24" customHeight="1" x14ac:dyDescent="0.35">
      <c r="B13" s="35" t="s">
        <v>161</v>
      </c>
      <c r="C13" s="54">
        <f>COUNTIF('Matriz Consolidada'!$G$4:$G$85,"A.5.20 Abordar la seguridad de la información en los acuerdos con proveedores")</f>
        <v>3</v>
      </c>
      <c r="D13" s="54">
        <f>COUNTIFS('Matriz Consolidada'!$G$4:$G$85,"A.5.20 Abordar la seguridad de la información en los acuerdos con proveedores",'Matriz Consolidada'!$L$4:$L$85,"&gt;=1")</f>
        <v>1</v>
      </c>
      <c r="E13" s="54">
        <f>COUNTIFS('Matriz Consolidada'!$G$4:$G$85,"A.5.20 Abordar la seguridad de la información en los acuerdos con proveedores",'Matriz Consolidada'!$M$4:$M$85,"&gt;=1")</f>
        <v>3</v>
      </c>
      <c r="F13" s="54">
        <f>COUNTIFS('Matriz Consolidada'!$G$4:$G$85,"A.5.20 Abordar la seguridad de la información en los acuerdos con proveedores",'Matriz Consolidada'!$N$4:$N$85,"&gt;=1")</f>
        <v>3</v>
      </c>
      <c r="G13" s="54">
        <f>COUNTIFS('Matriz Consolidada'!$G$4:$G$85,"A.5.20 Abordar la seguridad de la información en los acuerdos con proveedores",'Matriz Consolidada'!$O$4:$O$85,"&gt;=1")</f>
        <v>3</v>
      </c>
    </row>
    <row r="14" spans="2:7" ht="24" customHeight="1" x14ac:dyDescent="0.35">
      <c r="B14" s="35" t="s">
        <v>168</v>
      </c>
      <c r="C14" s="54">
        <f>COUNTIF('Matriz Consolidada'!$G$4:$G$85,"A.6.6 Acuerdos de confidencialidad o no divulgación")</f>
        <v>1</v>
      </c>
      <c r="D14" s="54">
        <f>COUNTIFS('Matriz Consolidada'!$G$4:$G$85,"A.6.6 Acuerdos de confidencialidad o no divulgación",'Matriz Consolidada'!$L$4:$L$85,"&gt;=1")</f>
        <v>0</v>
      </c>
      <c r="E14" s="54">
        <f>COUNTIFS('Matriz Consolidada'!$G$4:$G$85,"A.6.6 Acuerdos de confidencialidad o no divulgación",'Matriz Consolidada'!$M$4:$M$85,"&gt;=1")</f>
        <v>0</v>
      </c>
      <c r="F14" s="54">
        <f>COUNTIFS('Matriz Consolidada'!$G$4:$G$85,"A.6.6 Acuerdos de confidencialidad o no divulgación",'Matriz Consolidada'!$N$4:$N$85,"&gt;=1")</f>
        <v>1</v>
      </c>
      <c r="G14" s="54">
        <f>COUNTIFS('Matriz Consolidada'!$G$4:$G$85,"A.6.6 Acuerdos de confidencialidad o no divulgación",'Matriz Consolidada'!$O$4:$O$85,"&gt;=1")</f>
        <v>1</v>
      </c>
    </row>
    <row r="15" spans="2:7" ht="24" customHeight="1" x14ac:dyDescent="0.35">
      <c r="B15" s="35" t="s">
        <v>174</v>
      </c>
      <c r="C15" s="54">
        <f>COUNTIF('Matriz Consolidada'!$G$4:$G$85,"A.5.22 Seguimiento, revisión y gestión de cambios en los servicios de proveedores")</f>
        <v>2</v>
      </c>
      <c r="D15" s="54">
        <f>COUNTIFS('Matriz Consolidada'!$G$4:$G$85,"A.5.22 Seguimiento, revisión y gestión de cambios en los servicios de proveedores",'Matriz Consolidada'!$L$4:$L$85,"&gt;=1")</f>
        <v>0</v>
      </c>
      <c r="E15" s="54">
        <f>COUNTIFS('Matriz Consolidada'!$G$4:$G$85,"A.5.22 Seguimiento, revisión y gestión de cambios en los servicios de proveedores",'Matriz Consolidada'!$M$4:$M$85,"&gt;=1")</f>
        <v>2</v>
      </c>
      <c r="F15" s="54">
        <f>COUNTIFS('Matriz Consolidada'!$G$4:$G$85,"A.5.22 Seguimiento, revisión y gestión de cambios en los servicios de proveedores",'Matriz Consolidada'!$N$4:$N$85,"&gt;=1")</f>
        <v>2</v>
      </c>
      <c r="G15" s="54">
        <f>COUNTIFS('Matriz Consolidada'!$G$4:$G$85,"A.5.22 Seguimiento, revisión y gestión de cambios en los servicios de proveedores",'Matriz Consolidada'!$O$4:$O$85,"&gt;=1")</f>
        <v>2</v>
      </c>
    </row>
    <row r="16" spans="2:7" ht="24" customHeight="1" x14ac:dyDescent="0.35">
      <c r="B16" s="35" t="s">
        <v>181</v>
      </c>
      <c r="C16" s="54">
        <f>COUNTIF('Matriz Consolidada'!$G$4:$G$85,"A.5.1 Políticas de seguridad de la información / Cláusula 8 Operación")</f>
        <v>1</v>
      </c>
      <c r="D16" s="54">
        <f>COUNTIFS('Matriz Consolidada'!$G$4:$G$85,"A.5.1 Políticas de seguridad de la información / Cláusula 8 Operación",'Matriz Consolidada'!$L$4:$L$85,"&gt;=1")</f>
        <v>0</v>
      </c>
      <c r="E16" s="54">
        <f>COUNTIFS('Matriz Consolidada'!$G$4:$G$85,"A.5.1 Políticas de seguridad de la información / Cláusula 8 Operación",'Matriz Consolidada'!$M$4:$M$85,"&gt;=1")</f>
        <v>1</v>
      </c>
      <c r="F16" s="54">
        <f>COUNTIFS('Matriz Consolidada'!$G$4:$G$85,"A.5.1 Políticas de seguridad de la información / Cláusula 8 Operación",'Matriz Consolidada'!$N$4:$N$85,"&gt;=1")</f>
        <v>1</v>
      </c>
      <c r="G16" s="54">
        <f>COUNTIFS('Matriz Consolidada'!$G$4:$G$85,"A.5.1 Políticas de seguridad de la información / Cláusula 8 Operación",'Matriz Consolidada'!$O$4:$O$85,"&gt;=1")</f>
        <v>1</v>
      </c>
    </row>
    <row r="17" spans="2:7" ht="24" customHeight="1" x14ac:dyDescent="0.35">
      <c r="B17" s="35" t="s">
        <v>187</v>
      </c>
      <c r="C17" s="54">
        <f>COUNTIF('Matriz Consolidada'!$G$4:$G$85,"Cláusula 6.1 / 8.2 Evaluación de riesgos de seguridad de la información")</f>
        <v>2</v>
      </c>
      <c r="D17" s="54">
        <f>COUNTIFS('Matriz Consolidada'!$G$4:$G$85,"Cláusula 6.1 / 8.2 Evaluación de riesgos de seguridad de la información",'Matriz Consolidada'!$L$4:$L$85,"&gt;=1")</f>
        <v>1</v>
      </c>
      <c r="E17" s="54">
        <f>COUNTIFS('Matriz Consolidada'!$G$4:$G$85,"Cláusula 6.1 / 8.2 Evaluación de riesgos de seguridad de la información",'Matriz Consolidada'!$M$4:$M$85,"&gt;=1")</f>
        <v>2</v>
      </c>
      <c r="F17" s="54">
        <f>COUNTIFS('Matriz Consolidada'!$G$4:$G$85,"Cláusula 6.1 / 8.2 Evaluación de riesgos de seguridad de la información",'Matriz Consolidada'!$N$4:$N$85,"&gt;=1")</f>
        <v>2</v>
      </c>
      <c r="G17" s="54">
        <f>COUNTIFS('Matriz Consolidada'!$G$4:$G$85,"Cláusula 6.1 / 8.2 Evaluación de riesgos de seguridad de la información",'Matriz Consolidada'!$O$4:$O$85,"&gt;=1")</f>
        <v>2</v>
      </c>
    </row>
    <row r="18" spans="2:7" ht="24" customHeight="1" x14ac:dyDescent="0.35">
      <c r="B18" s="35" t="s">
        <v>193</v>
      </c>
      <c r="C18" s="54">
        <f>COUNTIF('Matriz Consolidada'!$G$4:$G$85,"Cláusula 8.2 Evaluación de riesgos de seguridad de la información")</f>
        <v>2</v>
      </c>
      <c r="D18" s="54">
        <f>COUNTIFS('Matriz Consolidada'!$G$4:$G$85,"Cláusula 8.2 Evaluación de riesgos de seguridad de la información",'Matriz Consolidada'!$L$4:$L$85,"&gt;=1")</f>
        <v>2</v>
      </c>
      <c r="E18" s="54">
        <f>COUNTIFS('Matriz Consolidada'!$G$4:$G$85,"Cláusula 8.2 Evaluación de riesgos de seguridad de la información",'Matriz Consolidada'!$M$4:$M$85,"&gt;=1")</f>
        <v>2</v>
      </c>
      <c r="F18" s="54">
        <f>COUNTIFS('Matriz Consolidada'!$G$4:$G$85,"Cláusula 8.2 Evaluación de riesgos de seguridad de la información",'Matriz Consolidada'!$N$4:$N$85,"&gt;=1")</f>
        <v>2</v>
      </c>
      <c r="G18" s="54">
        <f>COUNTIFS('Matriz Consolidada'!$G$4:$G$85,"Cláusula 8.2 Evaluación de riesgos de seguridad de la información",'Matriz Consolidada'!$O$4:$O$85,"&gt;=1")</f>
        <v>2</v>
      </c>
    </row>
    <row r="19" spans="2:7" ht="24" customHeight="1" x14ac:dyDescent="0.35">
      <c r="B19" s="35" t="s">
        <v>199</v>
      </c>
      <c r="C19" s="54">
        <f>COUNTIF('Matriz Consolidada'!$G$4:$G$85,"A.5.24 Planificación y preparación de la gestión de incidentes / A.6.8 Reporte de eventos")</f>
        <v>1</v>
      </c>
      <c r="D19" s="54">
        <f>COUNTIFS('Matriz Consolidada'!$G$4:$G$85,"A.5.24 Planificación y preparación de la gestión de incidentes / A.6.8 Reporte de eventos",'Matriz Consolidada'!$L$4:$L$85,"&gt;=1")</f>
        <v>1</v>
      </c>
      <c r="E19" s="54">
        <f>COUNTIFS('Matriz Consolidada'!$G$4:$G$85,"A.5.24 Planificación y preparación de la gestión de incidentes / A.6.8 Reporte de eventos",'Matriz Consolidada'!$M$4:$M$85,"&gt;=1")</f>
        <v>1</v>
      </c>
      <c r="F19" s="54">
        <f>COUNTIFS('Matriz Consolidada'!$G$4:$G$85,"A.5.24 Planificación y preparación de la gestión de incidentes / A.6.8 Reporte de eventos",'Matriz Consolidada'!$N$4:$N$85,"&gt;=1")</f>
        <v>1</v>
      </c>
      <c r="G19" s="54">
        <f>COUNTIFS('Matriz Consolidada'!$G$4:$G$85,"A.5.24 Planificación y preparación de la gestión de incidentes / A.6.8 Reporte de eventos",'Matriz Consolidada'!$O$4:$O$85,"&gt;=1")</f>
        <v>1</v>
      </c>
    </row>
    <row r="20" spans="2:7" ht="24" customHeight="1" x14ac:dyDescent="0.35">
      <c r="B20" s="35" t="s">
        <v>204</v>
      </c>
      <c r="C20" s="54">
        <f>COUNTIF('Matriz Consolidada'!$G$4:$G$85,"A.8.8 Gestión de vulnerabilidades técnicas")</f>
        <v>2</v>
      </c>
      <c r="D20" s="54">
        <f>COUNTIFS('Matriz Consolidada'!$G$4:$G$85,"A.8.8 Gestión de vulnerabilidades técnicas",'Matriz Consolidada'!$L$4:$L$85,"&gt;=1")</f>
        <v>1</v>
      </c>
      <c r="E20" s="54">
        <f>COUNTIFS('Matriz Consolidada'!$G$4:$G$85,"A.8.8 Gestión de vulnerabilidades técnicas",'Matriz Consolidada'!$M$4:$M$85,"&gt;=1")</f>
        <v>2</v>
      </c>
      <c r="F20" s="54">
        <f>COUNTIFS('Matriz Consolidada'!$G$4:$G$85,"A.8.8 Gestión de vulnerabilidades técnicas",'Matriz Consolidada'!$N$4:$N$85,"&gt;=1")</f>
        <v>2</v>
      </c>
      <c r="G20" s="54">
        <f>COUNTIFS('Matriz Consolidada'!$G$4:$G$85,"A.8.8 Gestión de vulnerabilidades técnicas",'Matriz Consolidada'!$O$4:$O$85,"&gt;=1")</f>
        <v>2</v>
      </c>
    </row>
    <row r="21" spans="2:7" ht="24" customHeight="1" x14ac:dyDescent="0.35">
      <c r="B21" s="35" t="s">
        <v>210</v>
      </c>
      <c r="C21" s="54">
        <f>COUNTIF('Matriz Consolidada'!$G$4:$G$85,"A.8.24 Uso de criptografía / A.8.10 Eliminación de la información")</f>
        <v>1</v>
      </c>
      <c r="D21" s="54">
        <f>COUNTIFS('Matriz Consolidada'!$G$4:$G$85,"A.8.24 Uso de criptografía / A.8.10 Eliminación de la información",'Matriz Consolidada'!$L$4:$L$85,"&gt;=1")</f>
        <v>1</v>
      </c>
      <c r="E21" s="54">
        <f>COUNTIFS('Matriz Consolidada'!$G$4:$G$85,"A.8.24 Uso de criptografía / A.8.10 Eliminación de la información",'Matriz Consolidada'!$M$4:$M$85,"&gt;=1")</f>
        <v>1</v>
      </c>
      <c r="F21" s="54">
        <f>COUNTIFS('Matriz Consolidada'!$G$4:$G$85,"A.8.24 Uso de criptografía / A.8.10 Eliminación de la información",'Matriz Consolidada'!$N$4:$N$85,"&gt;=1")</f>
        <v>1</v>
      </c>
      <c r="G21" s="54">
        <f>COUNTIFS('Matriz Consolidada'!$G$4:$G$85,"A.8.24 Uso de criptografía / A.8.10 Eliminación de la información",'Matriz Consolidada'!$O$4:$O$85,"&gt;=1")</f>
        <v>1</v>
      </c>
    </row>
    <row r="22" spans="2:7" ht="24" customHeight="1" x14ac:dyDescent="0.35">
      <c r="B22" s="35" t="s">
        <v>216</v>
      </c>
      <c r="C22" s="54">
        <f>COUNTIF('Matriz Consolidada'!$G$4:$G$85,"A.7.4 Monitoreo de seguridad física")</f>
        <v>1</v>
      </c>
      <c r="D22" s="54">
        <f>COUNTIFS('Matriz Consolidada'!$G$4:$G$85,"A.7.4 Monitoreo de seguridad física",'Matriz Consolidada'!$L$4:$L$85,"&gt;=1")</f>
        <v>1</v>
      </c>
      <c r="E22" s="54">
        <f>COUNTIFS('Matriz Consolidada'!$G$4:$G$85,"A.7.4 Monitoreo de seguridad física",'Matriz Consolidada'!$M$4:$M$85,"&gt;=1")</f>
        <v>1</v>
      </c>
      <c r="F22" s="54">
        <f>COUNTIFS('Matriz Consolidada'!$G$4:$G$85,"A.7.4 Monitoreo de seguridad física",'Matriz Consolidada'!$N$4:$N$85,"&gt;=1")</f>
        <v>1</v>
      </c>
      <c r="G22" s="54">
        <f>COUNTIFS('Matriz Consolidada'!$G$4:$G$85,"A.7.4 Monitoreo de seguridad física",'Matriz Consolidada'!$O$4:$O$85,"&gt;=1")</f>
        <v>1</v>
      </c>
    </row>
    <row r="23" spans="2:7" ht="24" customHeight="1" x14ac:dyDescent="0.35">
      <c r="B23" s="35" t="s">
        <v>223</v>
      </c>
      <c r="C23" s="54">
        <f>COUNTIF('Matriz Consolidada'!$G$4:$G$85,"A.6.3 Concienciación, educación y formación en seguridad de la información")</f>
        <v>3</v>
      </c>
      <c r="D23" s="54">
        <f>COUNTIFS('Matriz Consolidada'!$G$4:$G$85,"A.6.3 Concienciación, educación y formación en seguridad de la información",'Matriz Consolidada'!$L$4:$L$85,"&gt;=1")</f>
        <v>3</v>
      </c>
      <c r="E23" s="54">
        <f>COUNTIFS('Matriz Consolidada'!$G$4:$G$85,"A.6.3 Concienciación, educación y formación en seguridad de la información",'Matriz Consolidada'!$M$4:$M$85,"&gt;=1")</f>
        <v>3</v>
      </c>
      <c r="F23" s="54">
        <f>COUNTIFS('Matriz Consolidada'!$G$4:$G$85,"A.6.3 Concienciación, educación y formación en seguridad de la información",'Matriz Consolidada'!$N$4:$N$85,"&gt;=1")</f>
        <v>3</v>
      </c>
      <c r="G23" s="54">
        <f>COUNTIFS('Matriz Consolidada'!$G$4:$G$85,"A.6.3 Concienciación, educación y formación en seguridad de la información",'Matriz Consolidada'!$O$4:$O$85,"&gt;=1")</f>
        <v>3</v>
      </c>
    </row>
    <row r="24" spans="2:7" ht="24" customHeight="1" x14ac:dyDescent="0.35">
      <c r="B24" s="35" t="s">
        <v>229</v>
      </c>
      <c r="C24" s="54">
        <f>COUNTIF('Matriz Consolidada'!$G$4:$G$85,"Cláusula 9.2 Auditoría interna")</f>
        <v>3</v>
      </c>
      <c r="D24" s="54">
        <f>COUNTIFS('Matriz Consolidada'!$G$4:$G$85,"Cláusula 9.2 Auditoría interna",'Matriz Consolidada'!$L$4:$L$85,"&gt;=1")</f>
        <v>3</v>
      </c>
      <c r="E24" s="54">
        <f>COUNTIFS('Matriz Consolidada'!$G$4:$G$85,"Cláusula 9.2 Auditoría interna",'Matriz Consolidada'!$M$4:$M$85,"&gt;=1")</f>
        <v>2</v>
      </c>
      <c r="F24" s="54">
        <f>COUNTIFS('Matriz Consolidada'!$G$4:$G$85,"Cláusula 9.2 Auditoría interna",'Matriz Consolidada'!$N$4:$N$85,"&gt;=1")</f>
        <v>3</v>
      </c>
      <c r="G24" s="54">
        <f>COUNTIFS('Matriz Consolidada'!$G$4:$G$85,"Cláusula 9.2 Auditoría interna",'Matriz Consolidada'!$O$4:$O$85,"&gt;=1")</f>
        <v>3</v>
      </c>
    </row>
    <row r="25" spans="2:7" ht="24" customHeight="1" x14ac:dyDescent="0.35">
      <c r="B25" s="35" t="s">
        <v>236</v>
      </c>
      <c r="C25" s="54">
        <f>COUNTIF('Matriz Consolidada'!$G$4:$G$85,"A.5.33 Protección de los registros / A.8.10 Eliminación de la información")</f>
        <v>1</v>
      </c>
      <c r="D25" s="54">
        <f>COUNTIFS('Matriz Consolidada'!$G$4:$G$85,"A.5.33 Protección de los registros / A.8.10 Eliminación de la información",'Matriz Consolidada'!$L$4:$L$85,"&gt;=1")</f>
        <v>1</v>
      </c>
      <c r="E25" s="54">
        <f>COUNTIFS('Matriz Consolidada'!$G$4:$G$85,"A.5.33 Protección de los registros / A.8.10 Eliminación de la información",'Matriz Consolidada'!$M$4:$M$85,"&gt;=1")</f>
        <v>1</v>
      </c>
      <c r="F25" s="54">
        <f>COUNTIFS('Matriz Consolidada'!$G$4:$G$85,"A.5.33 Protección de los registros / A.8.10 Eliminación de la información",'Matriz Consolidada'!$N$4:$N$85,"&gt;=1")</f>
        <v>1</v>
      </c>
      <c r="G25" s="54">
        <f>COUNTIFS('Matriz Consolidada'!$G$4:$G$85,"A.5.33 Protección de los registros / A.8.10 Eliminación de la información",'Matriz Consolidada'!$O$4:$O$85,"&gt;=1")</f>
        <v>1</v>
      </c>
    </row>
    <row r="26" spans="2:7" ht="24" customHeight="1" x14ac:dyDescent="0.35">
      <c r="B26" s="35" t="s">
        <v>242</v>
      </c>
      <c r="C26" s="54">
        <f>COUNTIF('Matriz Consolidada'!$G$4:$G$85,"A.8.29 Pruebas de seguridad en el desarrollo y aceptación / A.5.36 Cumplimiento de políticas")</f>
        <v>1</v>
      </c>
      <c r="D26" s="54">
        <f>COUNTIFS('Matriz Consolidada'!$G$4:$G$85,"A.8.29 Pruebas de seguridad en el desarrollo y aceptación / A.5.36 Cumplimiento de políticas",'Matriz Consolidada'!$L$4:$L$85,"&gt;=1")</f>
        <v>0</v>
      </c>
      <c r="E26" s="54">
        <f>COUNTIFS('Matriz Consolidada'!$G$4:$G$85,"A.8.29 Pruebas de seguridad en el desarrollo y aceptación / A.5.36 Cumplimiento de políticas",'Matriz Consolidada'!$M$4:$M$85,"&gt;=1")</f>
        <v>1</v>
      </c>
      <c r="F26" s="54">
        <f>COUNTIFS('Matriz Consolidada'!$G$4:$G$85,"A.8.29 Pruebas de seguridad en el desarrollo y aceptación / A.5.36 Cumplimiento de políticas",'Matriz Consolidada'!$N$4:$N$85,"&gt;=1")</f>
        <v>1</v>
      </c>
      <c r="G26" s="54">
        <f>COUNTIFS('Matriz Consolidada'!$G$4:$G$85,"A.8.29 Pruebas de seguridad en el desarrollo y aceptación / A.5.36 Cumplimiento de políticas",'Matriz Consolidada'!$O$4:$O$85,"&gt;=1")</f>
        <v>1</v>
      </c>
    </row>
    <row r="27" spans="2:7" ht="24" customHeight="1" x14ac:dyDescent="0.35">
      <c r="B27" s="35" t="s">
        <v>255</v>
      </c>
      <c r="C27" s="54">
        <f>COUNTIF('Matriz Consolidada'!$G$4:$G$85,"Cláusula 5.1 Liderazgo y compromiso")</f>
        <v>2</v>
      </c>
      <c r="D27" s="54">
        <f>COUNTIFS('Matriz Consolidada'!$G$4:$G$85,"Cláusula 5.1 Liderazgo y compromiso",'Matriz Consolidada'!$L$4:$L$85,"&gt;=1")</f>
        <v>1</v>
      </c>
      <c r="E27" s="54">
        <f>COUNTIFS('Matriz Consolidada'!$G$4:$G$85,"Cláusula 5.1 Liderazgo y compromiso",'Matriz Consolidada'!$M$4:$M$85,"&gt;=1")</f>
        <v>1</v>
      </c>
      <c r="F27" s="54">
        <f>COUNTIFS('Matriz Consolidada'!$G$4:$G$85,"Cláusula 5.1 Liderazgo y compromiso",'Matriz Consolidada'!$N$4:$N$85,"&gt;=1")</f>
        <v>2</v>
      </c>
      <c r="G27" s="54">
        <f>COUNTIFS('Matriz Consolidada'!$G$4:$G$85,"Cláusula 5.1 Liderazgo y compromiso",'Matriz Consolidada'!$O$4:$O$85,"&gt;=1")</f>
        <v>2</v>
      </c>
    </row>
    <row r="28" spans="2:7" ht="24" customHeight="1" x14ac:dyDescent="0.35">
      <c r="B28" s="35" t="s">
        <v>265</v>
      </c>
      <c r="C28" s="54">
        <f>COUNTIF('Matriz Consolidada'!$G$4:$G$85,"Cláusula 7.1 Recursos")</f>
        <v>1</v>
      </c>
      <c r="D28" s="54">
        <f>COUNTIFS('Matriz Consolidada'!$G$4:$G$85,"Cláusula 7.1 Recursos",'Matriz Consolidada'!$L$4:$L$85,"&gt;=1")</f>
        <v>0</v>
      </c>
      <c r="E28" s="54">
        <f>COUNTIFS('Matriz Consolidada'!$G$4:$G$85,"Cláusula 7.1 Recursos",'Matriz Consolidada'!$M$4:$M$85,"&gt;=1")</f>
        <v>1</v>
      </c>
      <c r="F28" s="54">
        <f>COUNTIFS('Matriz Consolidada'!$G$4:$G$85,"Cláusula 7.1 Recursos",'Matriz Consolidada'!$N$4:$N$85,"&gt;=1")</f>
        <v>1</v>
      </c>
      <c r="G28" s="54">
        <f>COUNTIFS('Matriz Consolidada'!$G$4:$G$85,"Cláusula 7.1 Recursos",'Matriz Consolidada'!$O$4:$O$85,"&gt;=1")</f>
        <v>1</v>
      </c>
    </row>
    <row r="29" spans="2:7" ht="24" customHeight="1" x14ac:dyDescent="0.35">
      <c r="B29" s="35" t="s">
        <v>272</v>
      </c>
      <c r="C29" s="54">
        <f>COUNTIF('Matriz Consolidada'!$G$4:$G$85,"A.5.37 Procedimientos operativos documentados")</f>
        <v>1</v>
      </c>
      <c r="D29" s="54">
        <f>COUNTIFS('Matriz Consolidada'!$G$4:$G$85,"A.5.37 Procedimientos operativos documentados",'Matriz Consolidada'!$L$4:$L$85,"&gt;=1")</f>
        <v>1</v>
      </c>
      <c r="E29" s="54">
        <f>COUNTIFS('Matriz Consolidada'!$G$4:$G$85,"A.5.37 Procedimientos operativos documentados",'Matriz Consolidada'!$M$4:$M$85,"&gt;=1")</f>
        <v>1</v>
      </c>
      <c r="F29" s="54">
        <f>COUNTIFS('Matriz Consolidada'!$G$4:$G$85,"A.5.37 Procedimientos operativos documentados",'Matriz Consolidada'!$N$4:$N$85,"&gt;=1")</f>
        <v>1</v>
      </c>
      <c r="G29" s="54">
        <f>COUNTIFS('Matriz Consolidada'!$G$4:$G$85,"A.5.37 Procedimientos operativos documentados",'Matriz Consolidada'!$O$4:$O$85,"&gt;=1")</f>
        <v>1</v>
      </c>
    </row>
    <row r="30" spans="2:7" ht="24" customHeight="1" x14ac:dyDescent="0.35">
      <c r="B30" s="35" t="s">
        <v>286</v>
      </c>
      <c r="C30" s="54">
        <f>COUNTIF('Matriz Consolidada'!$G$4:$G$85,"A.5.24 Planificación y preparación de la gestión de incidentes")</f>
        <v>2</v>
      </c>
      <c r="D30" s="54">
        <f>COUNTIFS('Matriz Consolidada'!$G$4:$G$85,"A.5.24 Planificación y preparación de la gestión de incidentes",'Matriz Consolidada'!$L$4:$L$85,"&gt;=1")</f>
        <v>1</v>
      </c>
      <c r="E30" s="54">
        <f>COUNTIFS('Matriz Consolidada'!$G$4:$G$85,"A.5.24 Planificación y preparación de la gestión de incidentes",'Matriz Consolidada'!$M$4:$M$85,"&gt;=1")</f>
        <v>2</v>
      </c>
      <c r="F30" s="54">
        <f>COUNTIFS('Matriz Consolidada'!$G$4:$G$85,"A.5.24 Planificación y preparación de la gestión de incidentes",'Matriz Consolidada'!$N$4:$N$85,"&gt;=1")</f>
        <v>2</v>
      </c>
      <c r="G30" s="54">
        <f>COUNTIFS('Matriz Consolidada'!$G$4:$G$85,"A.5.24 Planificación y preparación de la gestión de incidentes",'Matriz Consolidada'!$O$4:$O$85,"&gt;=1")</f>
        <v>2</v>
      </c>
    </row>
    <row r="31" spans="2:7" ht="24" customHeight="1" x14ac:dyDescent="0.35">
      <c r="B31" s="35" t="s">
        <v>292</v>
      </c>
      <c r="C31" s="54">
        <f>COUNTIF('Matriz Consolidada'!$G$4:$G$85,"Cláusula 10.1 Mejora continua")</f>
        <v>3</v>
      </c>
      <c r="D31" s="54">
        <f>COUNTIFS('Matriz Consolidada'!$G$4:$G$85,"Cláusula 10.1 Mejora continua",'Matriz Consolidada'!$L$4:$L$85,"&gt;=1")</f>
        <v>3</v>
      </c>
      <c r="E31" s="54">
        <f>COUNTIFS('Matriz Consolidada'!$G$4:$G$85,"Cláusula 10.1 Mejora continua",'Matriz Consolidada'!$M$4:$M$85,"&gt;=1")</f>
        <v>3</v>
      </c>
      <c r="F31" s="54">
        <f>COUNTIFS('Matriz Consolidada'!$G$4:$G$85,"Cláusula 10.1 Mejora continua",'Matriz Consolidada'!$N$4:$N$85,"&gt;=1")</f>
        <v>3</v>
      </c>
      <c r="G31" s="54">
        <f>COUNTIFS('Matriz Consolidada'!$G$4:$G$85,"Cláusula 10.1 Mejora continua",'Matriz Consolidada'!$O$4:$O$85,"&gt;=1")</f>
        <v>3</v>
      </c>
    </row>
    <row r="32" spans="2:7" ht="24" customHeight="1" x14ac:dyDescent="0.35">
      <c r="B32" s="35" t="s">
        <v>307</v>
      </c>
      <c r="C32" s="54">
        <f>COUNTIF('Matriz Consolidada'!$G$4:$G$85,"A.8.25 Ciclo de vida de desarrollo seguro / A.5.34")</f>
        <v>2</v>
      </c>
      <c r="D32" s="54">
        <f>COUNTIFS('Matriz Consolidada'!$G$4:$G$85,"A.8.25 Ciclo de vida de desarrollo seguro / A.5.34",'Matriz Consolidada'!$L$4:$L$85,"&gt;=1")</f>
        <v>2</v>
      </c>
      <c r="E32" s="54">
        <f>COUNTIFS('Matriz Consolidada'!$G$4:$G$85,"A.8.25 Ciclo de vida de desarrollo seguro / A.5.34",'Matriz Consolidada'!$M$4:$M$85,"&gt;=1")</f>
        <v>2</v>
      </c>
      <c r="F32" s="54">
        <f>COUNTIFS('Matriz Consolidada'!$G$4:$G$85,"A.8.25 Ciclo de vida de desarrollo seguro / A.5.34",'Matriz Consolidada'!$N$4:$N$85,"&gt;=1")</f>
        <v>1</v>
      </c>
      <c r="G32" s="54">
        <f>COUNTIFS('Matriz Consolidada'!$G$4:$G$85,"A.8.25 Ciclo de vida de desarrollo seguro / A.5.34",'Matriz Consolidada'!$O$4:$O$85,"&gt;=1")</f>
        <v>2</v>
      </c>
    </row>
    <row r="33" spans="2:7" ht="24" customHeight="1" x14ac:dyDescent="0.35">
      <c r="B33" s="35" t="s">
        <v>313</v>
      </c>
      <c r="C33" s="54">
        <f>COUNTIF('Matriz Consolidada'!$G$4:$G$85,"A.6.4 Proceso disciplinario")</f>
        <v>1</v>
      </c>
      <c r="D33" s="54">
        <f>COUNTIFS('Matriz Consolidada'!$G$4:$G$85,"A.6.4 Proceso disciplinario",'Matriz Consolidada'!$L$4:$L$85,"&gt;=1")</f>
        <v>1</v>
      </c>
      <c r="E33" s="54">
        <f>COUNTIFS('Matriz Consolidada'!$G$4:$G$85,"A.6.4 Proceso disciplinario",'Matriz Consolidada'!$M$4:$M$85,"&gt;=1")</f>
        <v>1</v>
      </c>
      <c r="F33" s="54">
        <f>COUNTIFS('Matriz Consolidada'!$G$4:$G$85,"A.6.4 Proceso disciplinario",'Matriz Consolidada'!$N$4:$N$85,"&gt;=1")</f>
        <v>0</v>
      </c>
      <c r="G33" s="54">
        <f>COUNTIFS('Matriz Consolidada'!$G$4:$G$85,"A.6.4 Proceso disciplinario",'Matriz Consolidada'!$O$4:$O$85,"&gt;=1")</f>
        <v>1</v>
      </c>
    </row>
    <row r="34" spans="2:7" ht="24" customHeight="1" x14ac:dyDescent="0.35">
      <c r="B34" s="35" t="s">
        <v>323</v>
      </c>
      <c r="C34" s="54">
        <f>COUNTIF('Matriz Consolidada'!$G$4:$G$85,"Cláusula 6.1.3 Tratamiento de riesgos de seguridad de la información")</f>
        <v>1</v>
      </c>
      <c r="D34" s="54">
        <f>COUNTIFS('Matriz Consolidada'!$G$4:$G$85,"Cláusula 6.1.3 Tratamiento de riesgos de seguridad de la información",'Matriz Consolidada'!$L$4:$L$85,"&gt;=1")</f>
        <v>1</v>
      </c>
      <c r="E34" s="54">
        <f>COUNTIFS('Matriz Consolidada'!$G$4:$G$85,"Cláusula 6.1.3 Tratamiento de riesgos de seguridad de la información",'Matriz Consolidada'!$M$4:$M$85,"&gt;=1")</f>
        <v>1</v>
      </c>
      <c r="F34" s="54">
        <f>COUNTIFS('Matriz Consolidada'!$G$4:$G$85,"Cláusula 6.1.3 Tratamiento de riesgos de seguridad de la información",'Matriz Consolidada'!$N$4:$N$85,"&gt;=1")</f>
        <v>1</v>
      </c>
      <c r="G34" s="54">
        <f>COUNTIFS('Matriz Consolidada'!$G$4:$G$85,"Cláusula 6.1.3 Tratamiento de riesgos de seguridad de la información",'Matriz Consolidada'!$O$4:$O$85,"&gt;=1")</f>
        <v>1</v>
      </c>
    </row>
    <row r="35" spans="2:7" ht="24" customHeight="1" x14ac:dyDescent="0.35">
      <c r="B35" s="35" t="s">
        <v>332</v>
      </c>
      <c r="C35" s="54">
        <f>COUNTIF('Matriz Consolidada'!$G$4:$G$85,"A.8.24 Uso de criptografía / A.8.15 Registro (logging) / A.8.3 Restricción de acceso")</f>
        <v>1</v>
      </c>
      <c r="D35" s="54">
        <f>COUNTIFS('Matriz Consolidada'!$G$4:$G$85,"A.8.24 Uso de criptografía / A.8.15 Registro (logging) / A.8.3 Restricción de acceso",'Matriz Consolidada'!$L$4:$L$85,"&gt;=1")</f>
        <v>0</v>
      </c>
      <c r="E35" s="54">
        <f>COUNTIFS('Matriz Consolidada'!$G$4:$G$85,"A.8.24 Uso de criptografía / A.8.15 Registro (logging) / A.8.3 Restricción de acceso",'Matriz Consolidada'!$M$4:$M$85,"&gt;=1")</f>
        <v>1</v>
      </c>
      <c r="F35" s="54">
        <f>COUNTIFS('Matriz Consolidada'!$G$4:$G$85,"A.8.24 Uso de criptografía / A.8.15 Registro (logging) / A.8.3 Restricción de acceso",'Matriz Consolidada'!$N$4:$N$85,"&gt;=1")</f>
        <v>1</v>
      </c>
      <c r="G35" s="54">
        <f>COUNTIFS('Matriz Consolidada'!$G$4:$G$85,"A.8.24 Uso de criptografía / A.8.15 Registro (logging) / A.8.3 Restricción de acceso",'Matriz Consolidada'!$O$4:$O$85,"&gt;=1")</f>
        <v>1</v>
      </c>
    </row>
    <row r="36" spans="2:7" ht="24" customHeight="1" x14ac:dyDescent="0.35">
      <c r="B36" s="35" t="s">
        <v>350</v>
      </c>
      <c r="C36" s="54">
        <f>COUNTIF('Matriz Consolidada'!$G$4:$G$85,"A.5.19 Seguridad de la información en las relaciones con proveedores")</f>
        <v>1</v>
      </c>
      <c r="D36" s="54">
        <f>COUNTIFS('Matriz Consolidada'!$G$4:$G$85,"A.5.19 Seguridad de la información en las relaciones con proveedores",'Matriz Consolidada'!$L$4:$L$85,"&gt;=1")</f>
        <v>0</v>
      </c>
      <c r="E36" s="54">
        <f>COUNTIFS('Matriz Consolidada'!$G$4:$G$85,"A.5.19 Seguridad de la información en las relaciones con proveedores",'Matriz Consolidada'!$M$4:$M$85,"&gt;=1")</f>
        <v>1</v>
      </c>
      <c r="F36" s="54">
        <f>COUNTIFS('Matriz Consolidada'!$G$4:$G$85,"A.5.19 Seguridad de la información en las relaciones con proveedores",'Matriz Consolidada'!$N$4:$N$85,"&gt;=1")</f>
        <v>1</v>
      </c>
      <c r="G36" s="54">
        <f>COUNTIFS('Matriz Consolidada'!$G$4:$G$85,"A.5.19 Seguridad de la información en las relaciones con proveedores",'Matriz Consolidada'!$O$4:$O$85,"&gt;=1")</f>
        <v>1</v>
      </c>
    </row>
    <row r="37" spans="2:7" ht="24" customHeight="1" x14ac:dyDescent="0.35">
      <c r="B37" s="35" t="s">
        <v>359</v>
      </c>
      <c r="C37" s="54">
        <f>COUNTIF('Matriz Consolidada'!$G$4:$G$85,"Cláusula 9.1 Monitoreo, medición, análisis y evaluación")</f>
        <v>2</v>
      </c>
      <c r="D37" s="54">
        <f>COUNTIFS('Matriz Consolidada'!$G$4:$G$85,"Cláusula 9.1 Monitoreo, medición, análisis y evaluación",'Matriz Consolidada'!$L$4:$L$85,"&gt;=1")</f>
        <v>1</v>
      </c>
      <c r="E37" s="54">
        <f>COUNTIFS('Matriz Consolidada'!$G$4:$G$85,"Cláusula 9.1 Monitoreo, medición, análisis y evaluación",'Matriz Consolidada'!$M$4:$M$85,"&gt;=1")</f>
        <v>2</v>
      </c>
      <c r="F37" s="54">
        <f>COUNTIFS('Matriz Consolidada'!$G$4:$G$85,"Cláusula 9.1 Monitoreo, medición, análisis y evaluación",'Matriz Consolidada'!$N$4:$N$85,"&gt;=1")</f>
        <v>2</v>
      </c>
      <c r="G37" s="54">
        <f>COUNTIFS('Matriz Consolidada'!$G$4:$G$85,"Cláusula 9.1 Monitoreo, medición, análisis y evaluación",'Matriz Consolidada'!$O$4:$O$85,"&gt;=1")</f>
        <v>2</v>
      </c>
    </row>
    <row r="38" spans="2:7" ht="24" customHeight="1" x14ac:dyDescent="0.35">
      <c r="B38" s="35" t="s">
        <v>374</v>
      </c>
      <c r="C38" s="54">
        <f>COUNTIF('Matriz Consolidada'!$G$4:$G$85,"Cláusula 5.2 Política / A.5.1 Políticas de seguridad de la información")</f>
        <v>1</v>
      </c>
      <c r="D38" s="54">
        <f>COUNTIFS('Matriz Consolidada'!$G$4:$G$85,"Cláusula 5.2 Política / A.5.1 Políticas de seguridad de la información",'Matriz Consolidada'!$L$4:$L$85,"&gt;=1")</f>
        <v>0</v>
      </c>
      <c r="E38" s="54">
        <f>COUNTIFS('Matriz Consolidada'!$G$4:$G$85,"Cláusula 5.2 Política / A.5.1 Políticas de seguridad de la información",'Matriz Consolidada'!$M$4:$M$85,"&gt;=1")</f>
        <v>1</v>
      </c>
      <c r="F38" s="54">
        <f>COUNTIFS('Matriz Consolidada'!$G$4:$G$85,"Cláusula 5.2 Política / A.5.1 Políticas de seguridad de la información",'Matriz Consolidada'!$N$4:$N$85,"&gt;=1")</f>
        <v>1</v>
      </c>
      <c r="G38" s="54">
        <f>COUNTIFS('Matriz Consolidada'!$G$4:$G$85,"Cláusula 5.2 Política / A.5.1 Políticas de seguridad de la información",'Matriz Consolidada'!$O$4:$O$85,"&gt;=1")</f>
        <v>1</v>
      </c>
    </row>
    <row r="39" spans="2:7" ht="24" customHeight="1" x14ac:dyDescent="0.35">
      <c r="B39" s="35" t="s">
        <v>390</v>
      </c>
      <c r="C39" s="54">
        <f>COUNTIF('Matriz Consolidada'!$G$4:$G$85,"Cláusula 4.1-4.4 Contexto de la organización y alcance del SGSI")</f>
        <v>1</v>
      </c>
      <c r="D39" s="54">
        <f>COUNTIFS('Matriz Consolidada'!$G$4:$G$85,"Cláusula 4.1-4.4 Contexto de la organización y alcance del SGSI",'Matriz Consolidada'!$L$4:$L$85,"&gt;=1")</f>
        <v>0</v>
      </c>
      <c r="E39" s="54">
        <f>COUNTIFS('Matriz Consolidada'!$G$4:$G$85,"Cláusula 4.1-4.4 Contexto de la organización y alcance del SGSI",'Matriz Consolidada'!$M$4:$M$85,"&gt;=1")</f>
        <v>0</v>
      </c>
      <c r="F39" s="54">
        <f>COUNTIFS('Matriz Consolidada'!$G$4:$G$85,"Cláusula 4.1-4.4 Contexto de la organización y alcance del SGSI",'Matriz Consolidada'!$N$4:$N$85,"&gt;=1")</f>
        <v>0</v>
      </c>
      <c r="G39" s="54">
        <f>COUNTIFS('Matriz Consolidada'!$G$4:$G$85,"Cláusula 4.1-4.4 Contexto de la organización y alcance del SGSI",'Matriz Consolidada'!$O$4:$O$85,"&gt;=1")</f>
        <v>1</v>
      </c>
    </row>
    <row r="40" spans="2:7" ht="24" customHeight="1" x14ac:dyDescent="0.35">
      <c r="B40" s="35" t="s">
        <v>400</v>
      </c>
      <c r="C40" s="54">
        <f>COUNTIF('Matriz Consolidada'!$G$4:$G$85,"A.5.9 Inventario de información y otros activos asociados / A.8.19 Instalación de software")</f>
        <v>1</v>
      </c>
      <c r="D40" s="54">
        <f>COUNTIFS('Matriz Consolidada'!$G$4:$G$85,"A.5.9 Inventario de información y otros activos asociados / A.8.19 Instalación de software",'Matriz Consolidada'!$L$4:$L$85,"&gt;=1")</f>
        <v>1</v>
      </c>
      <c r="E40" s="54">
        <f>COUNTIFS('Matriz Consolidada'!$G$4:$G$85,"A.5.9 Inventario de información y otros activos asociados / A.8.19 Instalación de software",'Matriz Consolidada'!$M$4:$M$85,"&gt;=1")</f>
        <v>1</v>
      </c>
      <c r="F40" s="54">
        <f>COUNTIFS('Matriz Consolidada'!$G$4:$G$85,"A.5.9 Inventario de información y otros activos asociados / A.8.19 Instalación de software",'Matriz Consolidada'!$N$4:$N$85,"&gt;=1")</f>
        <v>1</v>
      </c>
      <c r="G40" s="54">
        <f>COUNTIFS('Matriz Consolidada'!$G$4:$G$85,"A.5.9 Inventario de información y otros activos asociados / A.8.19 Instalación de software",'Matriz Consolidada'!$O$4:$O$85,"&gt;=1")</f>
        <v>1</v>
      </c>
    </row>
    <row r="41" spans="2:7" ht="24" customHeight="1" x14ac:dyDescent="0.35">
      <c r="B41" s="35" t="s">
        <v>409</v>
      </c>
      <c r="C41" s="54">
        <f>COUNTIF('Matriz Consolidada'!$G$4:$G$85,"A.5.10 Uso aceptable de los activos / A.5.11 Devolución de activos / A.7.14 Eliminación segura de equipos")</f>
        <v>1</v>
      </c>
      <c r="D41" s="54">
        <f>COUNTIFS('Matriz Consolidada'!$G$4:$G$85,"A.5.10 Uso aceptable de los activos / A.5.11 Devolución de activos / A.7.14 Eliminación segura de equipos",'Matriz Consolidada'!$L$4:$L$85,"&gt;=1")</f>
        <v>0</v>
      </c>
      <c r="E41" s="54">
        <f>COUNTIFS('Matriz Consolidada'!$G$4:$G$85,"A.5.10 Uso aceptable de los activos / A.5.11 Devolución de activos / A.7.14 Eliminación segura de equipos",'Matriz Consolidada'!$M$4:$M$85,"&gt;=1")</f>
        <v>1</v>
      </c>
      <c r="F41" s="54">
        <f>COUNTIFS('Matriz Consolidada'!$G$4:$G$85,"A.5.10 Uso aceptable de los activos / A.5.11 Devolución de activos / A.7.14 Eliminación segura de equipos",'Matriz Consolidada'!$N$4:$N$85,"&gt;=1")</f>
        <v>1</v>
      </c>
      <c r="G41" s="54">
        <f>COUNTIFS('Matriz Consolidada'!$G$4:$G$85,"A.5.10 Uso aceptable de los activos / A.5.11 Devolución de activos / A.7.14 Eliminación segura de equipos",'Matriz Consolidada'!$O$4:$O$85,"&gt;=1")</f>
        <v>1</v>
      </c>
    </row>
    <row r="42" spans="2:7" ht="24" customHeight="1" x14ac:dyDescent="0.35">
      <c r="B42" s="35" t="s">
        <v>415</v>
      </c>
      <c r="C42" s="54">
        <f>COUNTIF('Matriz Consolidada'!$G$4:$G$85,"A.5.9 / A.8.9 Gestión de la configuración")</f>
        <v>1</v>
      </c>
      <c r="D42" s="54">
        <f>COUNTIFS('Matriz Consolidada'!$G$4:$G$85,"A.5.9 / A.8.9 Gestión de la configuración",'Matriz Consolidada'!$L$4:$L$85,"&gt;=1")</f>
        <v>0</v>
      </c>
      <c r="E42" s="54">
        <f>COUNTIFS('Matriz Consolidada'!$G$4:$G$85,"A.5.9 / A.8.9 Gestión de la configuración",'Matriz Consolidada'!$M$4:$M$85,"&gt;=1")</f>
        <v>1</v>
      </c>
      <c r="F42" s="54">
        <f>COUNTIFS('Matriz Consolidada'!$G$4:$G$85,"A.5.9 / A.8.9 Gestión de la configuración",'Matriz Consolidada'!$N$4:$N$85,"&gt;=1")</f>
        <v>1</v>
      </c>
      <c r="G42" s="54">
        <f>COUNTIFS('Matriz Consolidada'!$G$4:$G$85,"A.5.9 / A.8.9 Gestión de la configuración",'Matriz Consolidada'!$O$4:$O$85,"&gt;=1")</f>
        <v>1</v>
      </c>
    </row>
    <row r="43" spans="2:7" ht="24" customHeight="1" x14ac:dyDescent="0.35">
      <c r="B43" s="35" t="s">
        <v>420</v>
      </c>
      <c r="C43" s="54">
        <f>COUNTIF('Matriz Consolidada'!$G$4:$G$85,"A.8.9 Gestión de la configuración / A.5.9")</f>
        <v>1</v>
      </c>
      <c r="D43" s="54">
        <f>COUNTIFS('Matriz Consolidada'!$G$4:$G$85,"A.8.9 Gestión de la configuración / A.5.9",'Matriz Consolidada'!$L$4:$L$85,"&gt;=1")</f>
        <v>1</v>
      </c>
      <c r="E43" s="54">
        <f>COUNTIFS('Matriz Consolidada'!$G$4:$G$85,"A.8.9 Gestión de la configuración / A.5.9",'Matriz Consolidada'!$M$4:$M$85,"&gt;=1")</f>
        <v>1</v>
      </c>
      <c r="F43" s="54">
        <f>COUNTIFS('Matriz Consolidada'!$G$4:$G$85,"A.8.9 Gestión de la configuración / A.5.9",'Matriz Consolidada'!$N$4:$N$85,"&gt;=1")</f>
        <v>1</v>
      </c>
      <c r="G43" s="54">
        <f>COUNTIFS('Matriz Consolidada'!$G$4:$G$85,"A.8.9 Gestión de la configuración / A.5.9",'Matriz Consolidada'!$O$4:$O$85,"&gt;=1")</f>
        <v>1</v>
      </c>
    </row>
    <row r="44" spans="2:7" ht="24" customHeight="1" x14ac:dyDescent="0.35">
      <c r="B44" s="35" t="s">
        <v>425</v>
      </c>
      <c r="C44" s="54">
        <f>COUNTIF('Matriz Consolidada'!$G$4:$G$85,"A.5.15 Control de acceso / A.8.2 Derechos de acceso privilegiado / A.8.3 Restricción de acceso a la información")</f>
        <v>1</v>
      </c>
      <c r="D44" s="54">
        <f>COUNTIFS('Matriz Consolidada'!$G$4:$G$85,"A.5.15 Control de acceso / A.8.2 Derechos de acceso privilegiado / A.8.3 Restricción de acceso a la información",'Matriz Consolidada'!$L$4:$L$85,"&gt;=1")</f>
        <v>1</v>
      </c>
      <c r="E44" s="54">
        <f>COUNTIFS('Matriz Consolidada'!$G$4:$G$85,"A.5.15 Control de acceso / A.8.2 Derechos de acceso privilegiado / A.8.3 Restricción de acceso a la información",'Matriz Consolidada'!$M$4:$M$85,"&gt;=1")</f>
        <v>1</v>
      </c>
      <c r="F44" s="54">
        <f>COUNTIFS('Matriz Consolidada'!$G$4:$G$85,"A.5.15 Control de acceso / A.8.2 Derechos de acceso privilegiado / A.8.3 Restricción de acceso a la información",'Matriz Consolidada'!$N$4:$N$85,"&gt;=1")</f>
        <v>1</v>
      </c>
      <c r="G44" s="54">
        <f>COUNTIFS('Matriz Consolidada'!$G$4:$G$85,"A.5.15 Control de acceso / A.8.2 Derechos de acceso privilegiado / A.8.3 Restricción de acceso a la información",'Matriz Consolidada'!$O$4:$O$85,"&gt;=1")</f>
        <v>1</v>
      </c>
    </row>
    <row r="45" spans="2:7" ht="24" customHeight="1" x14ac:dyDescent="0.35">
      <c r="B45" s="35" t="s">
        <v>430</v>
      </c>
      <c r="C45" s="54">
        <f>COUNTIF('Matriz Consolidada'!$G$4:$G$85,"A.8.15 Registro (logging) / A.8.16 Actividades de monitoreo")</f>
        <v>1</v>
      </c>
      <c r="D45" s="54">
        <f>COUNTIFS('Matriz Consolidada'!$G$4:$G$85,"A.8.15 Registro (logging) / A.8.16 Actividades de monitoreo",'Matriz Consolidada'!$L$4:$L$85,"&gt;=1")</f>
        <v>0</v>
      </c>
      <c r="E45" s="54">
        <f>COUNTIFS('Matriz Consolidada'!$G$4:$G$85,"A.8.15 Registro (logging) / A.8.16 Actividades de monitoreo",'Matriz Consolidada'!$M$4:$M$85,"&gt;=1")</f>
        <v>1</v>
      </c>
      <c r="F45" s="54">
        <f>COUNTIFS('Matriz Consolidada'!$G$4:$G$85,"A.8.15 Registro (logging) / A.8.16 Actividades de monitoreo",'Matriz Consolidada'!$N$4:$N$85,"&gt;=1")</f>
        <v>1</v>
      </c>
      <c r="G45" s="54">
        <f>COUNTIFS('Matriz Consolidada'!$G$4:$G$85,"A.8.15 Registro (logging) / A.8.16 Actividades de monitoreo",'Matriz Consolidada'!$O$4:$O$85,"&gt;=1")</f>
        <v>1</v>
      </c>
    </row>
    <row r="46" spans="2:7" ht="24" customHeight="1" x14ac:dyDescent="0.35">
      <c r="B46" s="35" t="s">
        <v>435</v>
      </c>
      <c r="C46" s="54">
        <f>COUNTIF('Matriz Consolidada'!$G$4:$G$85,"A.5.29 Seguridad de la información durante la disrupción / A.5.30 Preparación TIC para la continuidad del negocio")</f>
        <v>1</v>
      </c>
      <c r="D46" s="54">
        <f>COUNTIFS('Matriz Consolidada'!$G$4:$G$85,"A.5.29 Seguridad de la información durante la disrupción / A.5.30 Preparación TIC para la continuidad del negocio",'Matriz Consolidada'!$L$4:$L$85,"&gt;=1")</f>
        <v>0</v>
      </c>
      <c r="E46" s="54">
        <f>COUNTIFS('Matriz Consolidada'!$G$4:$G$85,"A.5.29 Seguridad de la información durante la disrupción / A.5.30 Preparación TIC para la continuidad del negocio",'Matriz Consolidada'!$M$4:$M$85,"&gt;=1")</f>
        <v>1</v>
      </c>
      <c r="F46" s="54">
        <f>COUNTIFS('Matriz Consolidada'!$G$4:$G$85,"A.5.29 Seguridad de la información durante la disrupción / A.5.30 Preparación TIC para la continuidad del negocio",'Matriz Consolidada'!$N$4:$N$85,"&gt;=1")</f>
        <v>1</v>
      </c>
      <c r="G46" s="54">
        <f>COUNTIFS('Matriz Consolidada'!$G$4:$G$85,"A.5.29 Seguridad de la información durante la disrupción / A.5.30 Preparación TIC para la continuidad del negocio",'Matriz Consolidada'!$O$4:$O$85,"&gt;=1")</f>
        <v>1</v>
      </c>
    </row>
    <row r="47" spans="2:7" ht="24" customHeight="1" x14ac:dyDescent="0.35">
      <c r="B47" s="35" t="s">
        <v>441</v>
      </c>
      <c r="C47" s="54">
        <f>COUNTIF('Matriz Consolidada'!$G$4:$G$85,"A.8.13 Respaldo de la información")</f>
        <v>1</v>
      </c>
      <c r="D47" s="54">
        <f>COUNTIFS('Matriz Consolidada'!$G$4:$G$85,"A.8.13 Respaldo de la información",'Matriz Consolidada'!$L$4:$L$85,"&gt;=1")</f>
        <v>1</v>
      </c>
      <c r="E47" s="54">
        <f>COUNTIFS('Matriz Consolidada'!$G$4:$G$85,"A.8.13 Respaldo de la información",'Matriz Consolidada'!$M$4:$M$85,"&gt;=1")</f>
        <v>1</v>
      </c>
      <c r="F47" s="54">
        <f>COUNTIFS('Matriz Consolidada'!$G$4:$G$85,"A.8.13 Respaldo de la información",'Matriz Consolidada'!$N$4:$N$85,"&gt;=1")</f>
        <v>1</v>
      </c>
      <c r="G47" s="54">
        <f>COUNTIFS('Matriz Consolidada'!$G$4:$G$85,"A.8.13 Respaldo de la información",'Matriz Consolidada'!$O$4:$O$85,"&gt;=1")</f>
        <v>1</v>
      </c>
    </row>
    <row r="48" spans="2:7" ht="24" customHeight="1" x14ac:dyDescent="0.35">
      <c r="B48" s="35" t="s">
        <v>451</v>
      </c>
      <c r="C48" s="54">
        <f>COUNTIF('Matriz Consolidada'!$G$4:$G$85,"A.8.8 Gestión de vulnerabilidades técnicas / A.8.9 Gestión de la configuración")</f>
        <v>1</v>
      </c>
      <c r="D48" s="54">
        <f>COUNTIFS('Matriz Consolidada'!$G$4:$G$85,"A.8.8 Gestión de vulnerabilidades técnicas / A.8.9 Gestión de la configuración",'Matriz Consolidada'!$L$4:$L$85,"&gt;=1")</f>
        <v>0</v>
      </c>
      <c r="E48" s="54">
        <f>COUNTIFS('Matriz Consolidada'!$G$4:$G$85,"A.8.8 Gestión de vulnerabilidades técnicas / A.8.9 Gestión de la configuración",'Matriz Consolidada'!$M$4:$M$85,"&gt;=1")</f>
        <v>1</v>
      </c>
      <c r="F48" s="54">
        <f>COUNTIFS('Matriz Consolidada'!$G$4:$G$85,"A.8.8 Gestión de vulnerabilidades técnicas / A.8.9 Gestión de la configuración",'Matriz Consolidada'!$N$4:$N$85,"&gt;=1")</f>
        <v>1</v>
      </c>
      <c r="G48" s="54">
        <f>COUNTIFS('Matriz Consolidada'!$G$4:$G$85,"A.8.8 Gestión de vulnerabilidades técnicas / A.8.9 Gestión de la configuración",'Matriz Consolidada'!$O$4:$O$85,"&gt;=1")</f>
        <v>1</v>
      </c>
    </row>
    <row r="49" spans="2:7" ht="24" customHeight="1" x14ac:dyDescent="0.35">
      <c r="B49" s="35" t="s">
        <v>456</v>
      </c>
      <c r="C49" s="54">
        <f>COUNTIF('Matriz Consolidada'!$G$4:$G$85,"A.8.7 Protección contra código malicioso / A.8.20 Seguridad de redes")</f>
        <v>1</v>
      </c>
      <c r="D49" s="54">
        <f>COUNTIFS('Matriz Consolidada'!$G$4:$G$85,"A.8.7 Protección contra código malicioso / A.8.20 Seguridad de redes",'Matriz Consolidada'!$L$4:$L$85,"&gt;=1")</f>
        <v>1</v>
      </c>
      <c r="E49" s="54">
        <f>COUNTIFS('Matriz Consolidada'!$G$4:$G$85,"A.8.7 Protección contra código malicioso / A.8.20 Seguridad de redes",'Matriz Consolidada'!$M$4:$M$85,"&gt;=1")</f>
        <v>1</v>
      </c>
      <c r="F49" s="54">
        <f>COUNTIFS('Matriz Consolidada'!$G$4:$G$85,"A.8.7 Protección contra código malicioso / A.8.20 Seguridad de redes",'Matriz Consolidada'!$N$4:$N$85,"&gt;=1")</f>
        <v>1</v>
      </c>
      <c r="G49" s="54">
        <f>COUNTIFS('Matriz Consolidada'!$G$4:$G$85,"A.8.7 Protección contra código malicioso / A.8.20 Seguridad de redes",'Matriz Consolidada'!$O$4:$O$85,"&gt;=1")</f>
        <v>1</v>
      </c>
    </row>
    <row r="50" spans="2:7" ht="24" customHeight="1" x14ac:dyDescent="0.35">
      <c r="B50" s="35" t="s">
        <v>461</v>
      </c>
      <c r="C50" s="54">
        <f>COUNTIF('Matriz Consolidada'!$G$4:$G$85,"A.8.22 Segregación de redes / A.8.20 Seguridad de redes")</f>
        <v>1</v>
      </c>
      <c r="D50" s="54">
        <f>COUNTIFS('Matriz Consolidada'!$G$4:$G$85,"A.8.22 Segregación de redes / A.8.20 Seguridad de redes",'Matriz Consolidada'!$L$4:$L$85,"&gt;=1")</f>
        <v>0</v>
      </c>
      <c r="E50" s="54">
        <f>COUNTIFS('Matriz Consolidada'!$G$4:$G$85,"A.8.22 Segregación de redes / A.8.20 Seguridad de redes",'Matriz Consolidada'!$M$4:$M$85,"&gt;=1")</f>
        <v>1</v>
      </c>
      <c r="F50" s="54">
        <f>COUNTIFS('Matriz Consolidada'!$G$4:$G$85,"A.8.22 Segregación de redes / A.8.20 Seguridad de redes",'Matriz Consolidada'!$N$4:$N$85,"&gt;=1")</f>
        <v>1</v>
      </c>
      <c r="G50" s="54">
        <f>COUNTIFS('Matriz Consolidada'!$G$4:$G$85,"A.8.22 Segregación de redes / A.8.20 Seguridad de redes",'Matriz Consolidada'!$O$4:$O$85,"&gt;=1")</f>
        <v>1</v>
      </c>
    </row>
    <row r="51" spans="2:7" ht="24" customHeight="1" x14ac:dyDescent="0.35">
      <c r="B51" s="35" t="s">
        <v>466</v>
      </c>
      <c r="C51" s="54">
        <f>COUNTIF('Matriz Consolidada'!$G$4:$G$85,"A.8.2 Derechos de acceso privilegiado")</f>
        <v>1</v>
      </c>
      <c r="D51" s="54">
        <f>COUNTIFS('Matriz Consolidada'!$G$4:$G$85,"A.8.2 Derechos de acceso privilegiado",'Matriz Consolidada'!$L$4:$L$85,"&gt;=1")</f>
        <v>0</v>
      </c>
      <c r="E51" s="54">
        <f>COUNTIFS('Matriz Consolidada'!$G$4:$G$85,"A.8.2 Derechos de acceso privilegiado",'Matriz Consolidada'!$M$4:$M$85,"&gt;=1")</f>
        <v>0</v>
      </c>
      <c r="F51" s="54">
        <f>COUNTIFS('Matriz Consolidada'!$G$4:$G$85,"A.8.2 Derechos de acceso privilegiado",'Matriz Consolidada'!$N$4:$N$85,"&gt;=1")</f>
        <v>1</v>
      </c>
      <c r="G51" s="54">
        <f>COUNTIFS('Matriz Consolidada'!$G$4:$G$85,"A.8.2 Derechos de acceso privilegiado",'Matriz Consolidada'!$O$4:$O$85,"&gt;=1")</f>
        <v>1</v>
      </c>
    </row>
    <row r="52" spans="2:7" ht="24" customHeight="1" x14ac:dyDescent="0.35">
      <c r="B52" s="35" t="s">
        <v>471</v>
      </c>
      <c r="C52" s="54">
        <f>COUNTIF('Matriz Consolidada'!$G$4:$G$85,"A.8.8 Gestión de vulnerabilidades técnicas / A.8.29 Pruebas de seguridad")</f>
        <v>1</v>
      </c>
      <c r="D52" s="54">
        <f>COUNTIFS('Matriz Consolidada'!$G$4:$G$85,"A.8.8 Gestión de vulnerabilidades técnicas / A.8.29 Pruebas de seguridad",'Matriz Consolidada'!$L$4:$L$85,"&gt;=1")</f>
        <v>1</v>
      </c>
      <c r="E52" s="54">
        <f>COUNTIFS('Matriz Consolidada'!$G$4:$G$85,"A.8.8 Gestión de vulnerabilidades técnicas / A.8.29 Pruebas de seguridad",'Matriz Consolidada'!$M$4:$M$85,"&gt;=1")</f>
        <v>1</v>
      </c>
      <c r="F52" s="54">
        <f>COUNTIFS('Matriz Consolidada'!$G$4:$G$85,"A.8.8 Gestión de vulnerabilidades técnicas / A.8.29 Pruebas de seguridad",'Matriz Consolidada'!$N$4:$N$85,"&gt;=1")</f>
        <v>1</v>
      </c>
      <c r="G52" s="54">
        <f>COUNTIFS('Matriz Consolidada'!$G$4:$G$85,"A.8.8 Gestión de vulnerabilidades técnicas / A.8.29 Pruebas de seguridad",'Matriz Consolidada'!$O$4:$O$85,"&gt;=1")</f>
        <v>1</v>
      </c>
    </row>
    <row r="53" spans="2:7" ht="24" customHeight="1" x14ac:dyDescent="0.35">
      <c r="B53" s="35" t="s">
        <v>491</v>
      </c>
      <c r="C53" s="54">
        <f>COUNTIF('Matriz Consolidada'!$G$4:$G$85,"A.8.32 Gestión de cambios")</f>
        <v>1</v>
      </c>
      <c r="D53" s="54">
        <f>COUNTIFS('Matriz Consolidada'!$G$4:$G$85,"A.8.32 Gestión de cambios",'Matriz Consolidada'!$L$4:$L$85,"&gt;=1")</f>
        <v>0</v>
      </c>
      <c r="E53" s="54">
        <f>COUNTIFS('Matriz Consolidada'!$G$4:$G$85,"A.8.32 Gestión de cambios",'Matriz Consolidada'!$M$4:$M$85,"&gt;=1")</f>
        <v>1</v>
      </c>
      <c r="F53" s="54">
        <f>COUNTIFS('Matriz Consolidada'!$G$4:$G$85,"A.8.32 Gestión de cambios",'Matriz Consolidada'!$N$4:$N$85,"&gt;=1")</f>
        <v>1</v>
      </c>
      <c r="G53" s="54">
        <f>COUNTIFS('Matriz Consolidada'!$G$4:$G$85,"A.8.32 Gestión de cambios",'Matriz Consolidada'!$O$4:$O$85,"&gt;=1")</f>
        <v>1</v>
      </c>
    </row>
    <row r="54" spans="2:7" ht="24" customHeight="1" x14ac:dyDescent="0.35">
      <c r="B54" s="35" t="s">
        <v>498</v>
      </c>
      <c r="C54" s="54">
        <f>COUNTIF('Matriz Consolidada'!$G$4:$G$85,"A.5.31 Requisitos legales, estatutarios, regulatorios y contractuales")</f>
        <v>1</v>
      </c>
      <c r="D54" s="54">
        <f>COUNTIFS('Matriz Consolidada'!$G$4:$G$85,"A.5.31 Requisitos legales, estatutarios, regulatorios y contractuales",'Matriz Consolidada'!$L$4:$L$85,"&gt;=1")</f>
        <v>0</v>
      </c>
      <c r="E54" s="54">
        <f>COUNTIFS('Matriz Consolidada'!$G$4:$G$85,"A.5.31 Requisitos legales, estatutarios, regulatorios y contractuales",'Matriz Consolidada'!$M$4:$M$85,"&gt;=1")</f>
        <v>1</v>
      </c>
      <c r="F54" s="54">
        <f>COUNTIFS('Matriz Consolidada'!$G$4:$G$85,"A.5.31 Requisitos legales, estatutarios, regulatorios y contractuales",'Matriz Consolidada'!$N$4:$N$85,"&gt;=1")</f>
        <v>1</v>
      </c>
      <c r="G54" s="54">
        <f>COUNTIFS('Matriz Consolidada'!$G$4:$G$85,"A.5.31 Requisitos legales, estatutarios, regulatorios y contractuales",'Matriz Consolidada'!$O$4:$O$85,"&gt;=1")</f>
        <v>1</v>
      </c>
    </row>
    <row r="55" spans="2:7" ht="24" customHeight="1" x14ac:dyDescent="0.35">
      <c r="B55" s="35" t="s">
        <v>505</v>
      </c>
      <c r="C55" s="54">
        <f>COUNTIF('Matriz Consolidada'!$G$4:$G$85,"A.5.31 Requisitos legales, estatutarios, regulatorios y contractuales / Cláusula 4.2")</f>
        <v>1</v>
      </c>
      <c r="D55" s="54">
        <f>COUNTIFS('Matriz Consolidada'!$G$4:$G$85,"A.5.31 Requisitos legales, estatutarios, regulatorios y contractuales / Cláusula 4.2",'Matriz Consolidada'!$L$4:$L$85,"&gt;=1")</f>
        <v>1</v>
      </c>
      <c r="E55" s="54">
        <f>COUNTIFS('Matriz Consolidada'!$G$4:$G$85,"A.5.31 Requisitos legales, estatutarios, regulatorios y contractuales / Cláusula 4.2",'Matriz Consolidada'!$M$4:$M$85,"&gt;=1")</f>
        <v>1</v>
      </c>
      <c r="F55" s="54">
        <f>COUNTIFS('Matriz Consolidada'!$G$4:$G$85,"A.5.31 Requisitos legales, estatutarios, regulatorios y contractuales / Cláusula 4.2",'Matriz Consolidada'!$N$4:$N$85,"&gt;=1")</f>
        <v>1</v>
      </c>
      <c r="G55" s="54">
        <f>COUNTIFS('Matriz Consolidada'!$G$4:$G$85,"A.5.31 Requisitos legales, estatutarios, regulatorios y contractuales / Cláusula 4.2",'Matriz Consolidada'!$O$4:$O$85,"&gt;=1")</f>
        <v>1</v>
      </c>
    </row>
  </sheetData>
  <sheetProtection sheet="1" objects="1" scenarios="1"/>
  <autoFilter ref="B4:G55" xr:uid="{00000000-0009-0000-0000-000004000000}"/>
  <mergeCells count="1">
    <mergeCell ref="B2:F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  <pageSetUpPr fitToPage="1"/>
  </sheetPr>
  <dimension ref="B2:J53"/>
  <sheetViews>
    <sheetView showGridLines="0" zoomScaleNormal="100" workbookViewId="0">
      <selection activeCell="F7" sqref="F7"/>
    </sheetView>
  </sheetViews>
  <sheetFormatPr baseColWidth="10" defaultColWidth="8.6328125" defaultRowHeight="14.5" x14ac:dyDescent="0.35"/>
  <cols>
    <col min="1" max="1" width="8.6328125" style="33"/>
    <col min="2" max="3" width="11" style="33" customWidth="1"/>
    <col min="4" max="4" width="16" style="33" customWidth="1"/>
    <col min="5" max="5" width="7" style="33" customWidth="1"/>
    <col min="6" max="6" width="40" style="33" customWidth="1"/>
    <col min="7" max="7" width="13" style="33" customWidth="1"/>
    <col min="8" max="8" width="38" style="33" customWidth="1"/>
    <col min="9" max="9" width="44" style="33" customWidth="1"/>
    <col min="10" max="10" width="22" style="33" customWidth="1"/>
    <col min="11" max="16384" width="8.6328125" style="33"/>
  </cols>
  <sheetData>
    <row r="2" spans="2:10" ht="27.75" customHeight="1" x14ac:dyDescent="0.35">
      <c r="B2" s="39" t="s">
        <v>558</v>
      </c>
      <c r="C2" s="39"/>
      <c r="D2" s="39"/>
      <c r="E2" s="39"/>
      <c r="F2" s="39"/>
      <c r="G2" s="39"/>
      <c r="H2" s="39"/>
      <c r="I2" s="39"/>
    </row>
    <row r="4" spans="2:10" ht="25.5" customHeight="1" x14ac:dyDescent="0.35">
      <c r="B4" s="40" t="s">
        <v>40</v>
      </c>
      <c r="C4" s="40" t="s">
        <v>559</v>
      </c>
      <c r="D4" s="40" t="s">
        <v>24</v>
      </c>
      <c r="E4" s="40" t="s">
        <v>25</v>
      </c>
      <c r="F4" s="40" t="s">
        <v>27</v>
      </c>
      <c r="G4" s="40" t="s">
        <v>560</v>
      </c>
      <c r="H4" s="40" t="s">
        <v>561</v>
      </c>
      <c r="I4" s="40" t="s">
        <v>44</v>
      </c>
      <c r="J4" s="40" t="s">
        <v>45</v>
      </c>
    </row>
    <row r="5" spans="2:10" ht="39.75" customHeight="1" x14ac:dyDescent="0.35">
      <c r="B5" s="34" t="s">
        <v>520</v>
      </c>
      <c r="C5" s="35" t="s">
        <v>562</v>
      </c>
      <c r="D5" s="35" t="s">
        <v>47</v>
      </c>
      <c r="E5" s="35" t="s">
        <v>114</v>
      </c>
      <c r="F5" s="35" t="s">
        <v>115</v>
      </c>
      <c r="G5" s="35" t="s">
        <v>55</v>
      </c>
      <c r="H5" s="35" t="s">
        <v>89</v>
      </c>
      <c r="I5" s="35" t="s">
        <v>118</v>
      </c>
      <c r="J5" s="35" t="s">
        <v>119</v>
      </c>
    </row>
    <row r="6" spans="2:10" ht="39.75" customHeight="1" x14ac:dyDescent="0.35">
      <c r="B6" s="34" t="s">
        <v>520</v>
      </c>
      <c r="C6" s="35" t="s">
        <v>562</v>
      </c>
      <c r="D6" s="35" t="s">
        <v>47</v>
      </c>
      <c r="E6" s="35" t="s">
        <v>158</v>
      </c>
      <c r="F6" s="35" t="s">
        <v>159</v>
      </c>
      <c r="G6" s="35" t="s">
        <v>55</v>
      </c>
      <c r="H6" s="35" t="s">
        <v>161</v>
      </c>
      <c r="I6" s="35" t="s">
        <v>163</v>
      </c>
      <c r="J6" s="35" t="s">
        <v>164</v>
      </c>
    </row>
    <row r="7" spans="2:10" ht="39.75" customHeight="1" x14ac:dyDescent="0.35">
      <c r="B7" s="34" t="s">
        <v>520</v>
      </c>
      <c r="C7" s="35" t="s">
        <v>562</v>
      </c>
      <c r="D7" s="35" t="s">
        <v>47</v>
      </c>
      <c r="E7" s="35" t="s">
        <v>190</v>
      </c>
      <c r="F7" s="35" t="s">
        <v>191</v>
      </c>
      <c r="G7" s="35" t="s">
        <v>55</v>
      </c>
      <c r="H7" s="35" t="s">
        <v>193</v>
      </c>
      <c r="I7" s="35" t="s">
        <v>195</v>
      </c>
      <c r="J7" s="35" t="s">
        <v>149</v>
      </c>
    </row>
    <row r="8" spans="2:10" ht="39.75" customHeight="1" x14ac:dyDescent="0.35">
      <c r="B8" s="34" t="s">
        <v>520</v>
      </c>
      <c r="C8" s="35" t="s">
        <v>562</v>
      </c>
      <c r="D8" s="35" t="s">
        <v>47</v>
      </c>
      <c r="E8" s="35" t="s">
        <v>202</v>
      </c>
      <c r="F8" s="35" t="s">
        <v>203</v>
      </c>
      <c r="G8" s="35" t="s">
        <v>55</v>
      </c>
      <c r="H8" s="35" t="s">
        <v>204</v>
      </c>
      <c r="I8" s="35" t="s">
        <v>206</v>
      </c>
      <c r="J8" s="35" t="s">
        <v>207</v>
      </c>
    </row>
    <row r="9" spans="2:10" ht="39.75" customHeight="1" x14ac:dyDescent="0.35">
      <c r="B9" s="34" t="s">
        <v>520</v>
      </c>
      <c r="C9" s="35" t="s">
        <v>562</v>
      </c>
      <c r="D9" s="35" t="s">
        <v>47</v>
      </c>
      <c r="E9" s="35" t="s">
        <v>227</v>
      </c>
      <c r="F9" s="35" t="s">
        <v>228</v>
      </c>
      <c r="G9" s="35" t="s">
        <v>55</v>
      </c>
      <c r="H9" s="35" t="s">
        <v>229</v>
      </c>
      <c r="I9" s="35" t="s">
        <v>231</v>
      </c>
      <c r="J9" s="35" t="s">
        <v>232</v>
      </c>
    </row>
    <row r="10" spans="2:10" ht="39.75" customHeight="1" x14ac:dyDescent="0.35">
      <c r="B10" s="34" t="s">
        <v>520</v>
      </c>
      <c r="C10" s="35" t="s">
        <v>562</v>
      </c>
      <c r="D10" s="35" t="s">
        <v>245</v>
      </c>
      <c r="E10" s="35" t="s">
        <v>246</v>
      </c>
      <c r="F10" s="35" t="s">
        <v>248</v>
      </c>
      <c r="G10" s="35">
        <v>1</v>
      </c>
      <c r="H10" s="35" t="s">
        <v>154</v>
      </c>
      <c r="I10" s="35" t="s">
        <v>250</v>
      </c>
      <c r="J10" s="35" t="s">
        <v>251</v>
      </c>
    </row>
    <row r="11" spans="2:10" ht="39.75" customHeight="1" x14ac:dyDescent="0.35">
      <c r="B11" s="34" t="s">
        <v>520</v>
      </c>
      <c r="C11" s="35" t="s">
        <v>562</v>
      </c>
      <c r="D11" s="35" t="s">
        <v>245</v>
      </c>
      <c r="E11" s="35" t="s">
        <v>276</v>
      </c>
      <c r="F11" s="35" t="s">
        <v>277</v>
      </c>
      <c r="G11" s="35">
        <v>1</v>
      </c>
      <c r="H11" s="35" t="s">
        <v>52</v>
      </c>
      <c r="I11" s="35" t="s">
        <v>279</v>
      </c>
      <c r="J11" s="35" t="s">
        <v>149</v>
      </c>
    </row>
    <row r="12" spans="2:10" ht="39.75" customHeight="1" x14ac:dyDescent="0.35">
      <c r="B12" s="34" t="s">
        <v>520</v>
      </c>
      <c r="C12" s="35" t="s">
        <v>562</v>
      </c>
      <c r="D12" s="35" t="s">
        <v>245</v>
      </c>
      <c r="E12" s="35" t="s">
        <v>280</v>
      </c>
      <c r="F12" s="35" t="s">
        <v>281</v>
      </c>
      <c r="G12" s="35">
        <v>1</v>
      </c>
      <c r="H12" s="35" t="s">
        <v>89</v>
      </c>
      <c r="I12" s="35" t="s">
        <v>283</v>
      </c>
      <c r="J12" s="35" t="s">
        <v>149</v>
      </c>
    </row>
    <row r="13" spans="2:10" ht="39.75" customHeight="1" x14ac:dyDescent="0.35">
      <c r="B13" s="34" t="s">
        <v>520</v>
      </c>
      <c r="C13" s="35" t="s">
        <v>562</v>
      </c>
      <c r="D13" s="35" t="s">
        <v>245</v>
      </c>
      <c r="E13" s="35" t="s">
        <v>289</v>
      </c>
      <c r="F13" s="35" t="s">
        <v>290</v>
      </c>
      <c r="G13" s="35">
        <v>1</v>
      </c>
      <c r="H13" s="35" t="s">
        <v>292</v>
      </c>
      <c r="I13" s="35" t="s">
        <v>294</v>
      </c>
      <c r="J13" s="35" t="s">
        <v>149</v>
      </c>
    </row>
    <row r="14" spans="2:10" ht="39.75" customHeight="1" x14ac:dyDescent="0.35">
      <c r="B14" s="34" t="s">
        <v>520</v>
      </c>
      <c r="C14" s="35" t="s">
        <v>562</v>
      </c>
      <c r="D14" s="35" t="s">
        <v>245</v>
      </c>
      <c r="E14" s="35" t="s">
        <v>316</v>
      </c>
      <c r="F14" s="35" t="s">
        <v>318</v>
      </c>
      <c r="G14" s="35">
        <v>1</v>
      </c>
      <c r="H14" s="35" t="s">
        <v>187</v>
      </c>
      <c r="I14" s="35" t="s">
        <v>320</v>
      </c>
      <c r="J14" s="35" t="s">
        <v>119</v>
      </c>
    </row>
    <row r="15" spans="2:10" ht="39.75" customHeight="1" x14ac:dyDescent="0.35">
      <c r="B15" s="34" t="s">
        <v>520</v>
      </c>
      <c r="C15" s="35" t="s">
        <v>562</v>
      </c>
      <c r="D15" s="35" t="s">
        <v>245</v>
      </c>
      <c r="E15" s="35" t="s">
        <v>48</v>
      </c>
      <c r="F15" s="35" t="s">
        <v>354</v>
      </c>
      <c r="G15" s="35">
        <v>1</v>
      </c>
      <c r="H15" s="35" t="s">
        <v>229</v>
      </c>
      <c r="I15" s="35" t="s">
        <v>356</v>
      </c>
      <c r="J15" s="35" t="s">
        <v>357</v>
      </c>
    </row>
    <row r="16" spans="2:10" ht="39.75" customHeight="1" x14ac:dyDescent="0.35">
      <c r="B16" s="34" t="s">
        <v>520</v>
      </c>
      <c r="C16" s="35" t="s">
        <v>562</v>
      </c>
      <c r="D16" s="35" t="s">
        <v>245</v>
      </c>
      <c r="E16" s="35" t="s">
        <v>69</v>
      </c>
      <c r="F16" s="35" t="s">
        <v>362</v>
      </c>
      <c r="G16" s="35">
        <v>1</v>
      </c>
      <c r="H16" s="35" t="s">
        <v>292</v>
      </c>
      <c r="I16" s="35" t="s">
        <v>364</v>
      </c>
      <c r="J16" s="35" t="s">
        <v>365</v>
      </c>
    </row>
    <row r="17" spans="2:10" ht="39.75" customHeight="1" x14ac:dyDescent="0.35">
      <c r="B17" s="34" t="s">
        <v>520</v>
      </c>
      <c r="C17" s="35" t="s">
        <v>562</v>
      </c>
      <c r="D17" s="35" t="s">
        <v>245</v>
      </c>
      <c r="E17" s="35" t="s">
        <v>301</v>
      </c>
      <c r="F17" s="35" t="s">
        <v>302</v>
      </c>
      <c r="G17" s="35">
        <v>1</v>
      </c>
      <c r="H17" s="35" t="s">
        <v>223</v>
      </c>
      <c r="I17" s="35" t="s">
        <v>304</v>
      </c>
      <c r="J17" s="35" t="s">
        <v>226</v>
      </c>
    </row>
    <row r="18" spans="2:10" ht="39.75" customHeight="1" x14ac:dyDescent="0.35">
      <c r="B18" s="34" t="s">
        <v>520</v>
      </c>
      <c r="C18" s="35" t="s">
        <v>562</v>
      </c>
      <c r="D18" s="35" t="s">
        <v>245</v>
      </c>
      <c r="E18" s="35" t="s">
        <v>326</v>
      </c>
      <c r="F18" s="35" t="s">
        <v>327</v>
      </c>
      <c r="G18" s="35">
        <v>1</v>
      </c>
      <c r="H18" s="35" t="s">
        <v>193</v>
      </c>
      <c r="I18" s="35" t="s">
        <v>329</v>
      </c>
      <c r="J18" s="35" t="s">
        <v>149</v>
      </c>
    </row>
    <row r="19" spans="2:10" ht="39.75" customHeight="1" x14ac:dyDescent="0.35">
      <c r="B19" s="34" t="s">
        <v>520</v>
      </c>
      <c r="C19" s="35" t="s">
        <v>562</v>
      </c>
      <c r="D19" s="35" t="s">
        <v>47</v>
      </c>
      <c r="E19" s="35" t="s">
        <v>77</v>
      </c>
      <c r="F19" s="35" t="s">
        <v>78</v>
      </c>
      <c r="G19" s="35" t="s">
        <v>55</v>
      </c>
      <c r="H19" s="35" t="s">
        <v>80</v>
      </c>
      <c r="I19" s="35" t="s">
        <v>83</v>
      </c>
      <c r="J19" s="35" t="s">
        <v>84</v>
      </c>
    </row>
    <row r="20" spans="2:10" ht="39.75" customHeight="1" x14ac:dyDescent="0.35">
      <c r="B20" s="34" t="s">
        <v>520</v>
      </c>
      <c r="C20" s="35" t="s">
        <v>562</v>
      </c>
      <c r="D20" s="35" t="s">
        <v>47</v>
      </c>
      <c r="E20" s="35" t="s">
        <v>131</v>
      </c>
      <c r="F20" s="35" t="s">
        <v>132</v>
      </c>
      <c r="G20" s="35" t="s">
        <v>55</v>
      </c>
      <c r="H20" s="35" t="s">
        <v>89</v>
      </c>
      <c r="I20" s="35" t="s">
        <v>135</v>
      </c>
      <c r="J20" s="35" t="s">
        <v>136</v>
      </c>
    </row>
    <row r="21" spans="2:10" ht="39.75" customHeight="1" x14ac:dyDescent="0.35">
      <c r="B21" s="34" t="s">
        <v>520</v>
      </c>
      <c r="C21" s="35" t="s">
        <v>562</v>
      </c>
      <c r="D21" s="35" t="s">
        <v>47</v>
      </c>
      <c r="E21" s="35" t="s">
        <v>137</v>
      </c>
      <c r="F21" s="35" t="s">
        <v>138</v>
      </c>
      <c r="G21" s="35" t="s">
        <v>55</v>
      </c>
      <c r="H21" s="35" t="s">
        <v>89</v>
      </c>
      <c r="I21" s="35" t="s">
        <v>141</v>
      </c>
      <c r="J21" s="35" t="s">
        <v>99</v>
      </c>
    </row>
    <row r="22" spans="2:10" ht="39.75" customHeight="1" x14ac:dyDescent="0.35">
      <c r="B22" s="34" t="s">
        <v>520</v>
      </c>
      <c r="C22" s="35" t="s">
        <v>562</v>
      </c>
      <c r="D22" s="35" t="s">
        <v>47</v>
      </c>
      <c r="E22" s="35" t="s">
        <v>196</v>
      </c>
      <c r="F22" s="35" t="s">
        <v>197</v>
      </c>
      <c r="G22" s="35" t="s">
        <v>53</v>
      </c>
      <c r="H22" s="35" t="s">
        <v>199</v>
      </c>
      <c r="I22" s="35" t="s">
        <v>201</v>
      </c>
      <c r="J22" s="35" t="s">
        <v>119</v>
      </c>
    </row>
    <row r="23" spans="2:10" ht="39.75" customHeight="1" x14ac:dyDescent="0.35">
      <c r="B23" s="34" t="s">
        <v>520</v>
      </c>
      <c r="C23" s="35" t="s">
        <v>562</v>
      </c>
      <c r="D23" s="35" t="s">
        <v>47</v>
      </c>
      <c r="E23" s="35" t="s">
        <v>208</v>
      </c>
      <c r="F23" s="35" t="s">
        <v>209</v>
      </c>
      <c r="G23" s="35" t="s">
        <v>53</v>
      </c>
      <c r="H23" s="35" t="s">
        <v>210</v>
      </c>
      <c r="I23" s="35" t="s">
        <v>212</v>
      </c>
      <c r="J23" s="35" t="s">
        <v>207</v>
      </c>
    </row>
    <row r="24" spans="2:10" ht="39.75" customHeight="1" x14ac:dyDescent="0.35">
      <c r="B24" s="34" t="s">
        <v>520</v>
      </c>
      <c r="C24" s="35" t="s">
        <v>562</v>
      </c>
      <c r="D24" s="35" t="s">
        <v>47</v>
      </c>
      <c r="E24" s="35" t="s">
        <v>213</v>
      </c>
      <c r="F24" s="35" t="s">
        <v>214</v>
      </c>
      <c r="G24" s="35" t="s">
        <v>55</v>
      </c>
      <c r="H24" s="35" t="s">
        <v>216</v>
      </c>
      <c r="I24" s="35" t="s">
        <v>218</v>
      </c>
      <c r="J24" s="35" t="s">
        <v>219</v>
      </c>
    </row>
    <row r="25" spans="2:10" ht="39.75" customHeight="1" x14ac:dyDescent="0.35">
      <c r="B25" s="34" t="s">
        <v>520</v>
      </c>
      <c r="C25" s="35" t="s">
        <v>562</v>
      </c>
      <c r="D25" s="35" t="s">
        <v>47</v>
      </c>
      <c r="E25" s="35" t="s">
        <v>220</v>
      </c>
      <c r="F25" s="35" t="s">
        <v>222</v>
      </c>
      <c r="G25" s="35" t="s">
        <v>53</v>
      </c>
      <c r="H25" s="35" t="s">
        <v>223</v>
      </c>
      <c r="I25" s="35" t="s">
        <v>225</v>
      </c>
      <c r="J25" s="35" t="s">
        <v>226</v>
      </c>
    </row>
    <row r="26" spans="2:10" ht="39.75" customHeight="1" x14ac:dyDescent="0.35">
      <c r="B26" s="34" t="s">
        <v>520</v>
      </c>
      <c r="C26" s="35" t="s">
        <v>562</v>
      </c>
      <c r="D26" s="35" t="s">
        <v>47</v>
      </c>
      <c r="E26" s="35" t="s">
        <v>233</v>
      </c>
      <c r="F26" s="35" t="s">
        <v>234</v>
      </c>
      <c r="G26" s="35" t="s">
        <v>53</v>
      </c>
      <c r="H26" s="35" t="s">
        <v>236</v>
      </c>
      <c r="I26" s="35" t="s">
        <v>238</v>
      </c>
      <c r="J26" s="35" t="s">
        <v>239</v>
      </c>
    </row>
    <row r="27" spans="2:10" ht="39.75" customHeight="1" x14ac:dyDescent="0.35">
      <c r="B27" s="34" t="s">
        <v>520</v>
      </c>
      <c r="C27" s="35" t="s">
        <v>562</v>
      </c>
      <c r="D27" s="35" t="s">
        <v>245</v>
      </c>
      <c r="E27" s="35" t="s">
        <v>269</v>
      </c>
      <c r="F27" s="35" t="s">
        <v>271</v>
      </c>
      <c r="G27" s="35">
        <v>1</v>
      </c>
      <c r="H27" s="35" t="s">
        <v>272</v>
      </c>
      <c r="I27" s="35" t="s">
        <v>274</v>
      </c>
      <c r="J27" s="35" t="s">
        <v>275</v>
      </c>
    </row>
    <row r="28" spans="2:10" ht="39.75" customHeight="1" x14ac:dyDescent="0.35">
      <c r="B28" s="34" t="s">
        <v>520</v>
      </c>
      <c r="C28" s="35" t="s">
        <v>562</v>
      </c>
      <c r="D28" s="35" t="s">
        <v>245</v>
      </c>
      <c r="E28" s="35" t="s">
        <v>284</v>
      </c>
      <c r="F28" s="35" t="s">
        <v>285</v>
      </c>
      <c r="G28" s="35">
        <v>3</v>
      </c>
      <c r="H28" s="35" t="s">
        <v>286</v>
      </c>
      <c r="I28" s="35" t="s">
        <v>288</v>
      </c>
      <c r="J28" s="35" t="s">
        <v>119</v>
      </c>
    </row>
    <row r="29" spans="2:10" ht="39.75" customHeight="1" x14ac:dyDescent="0.35">
      <c r="B29" s="34" t="s">
        <v>520</v>
      </c>
      <c r="C29" s="35" t="s">
        <v>562</v>
      </c>
      <c r="D29" s="35" t="s">
        <v>245</v>
      </c>
      <c r="E29" s="35" t="s">
        <v>321</v>
      </c>
      <c r="F29" s="35" t="s">
        <v>322</v>
      </c>
      <c r="G29" s="35">
        <v>1</v>
      </c>
      <c r="H29" s="35" t="s">
        <v>323</v>
      </c>
      <c r="I29" s="35" t="s">
        <v>325</v>
      </c>
      <c r="J29" s="35" t="s">
        <v>119</v>
      </c>
    </row>
    <row r="30" spans="2:10" ht="39.75" customHeight="1" x14ac:dyDescent="0.35">
      <c r="B30" s="34" t="s">
        <v>520</v>
      </c>
      <c r="C30" s="35" t="s">
        <v>562</v>
      </c>
      <c r="D30" s="35" t="s">
        <v>245</v>
      </c>
      <c r="E30" s="35" t="s">
        <v>61</v>
      </c>
      <c r="F30" s="35" t="s">
        <v>358</v>
      </c>
      <c r="G30" s="35">
        <v>2</v>
      </c>
      <c r="H30" s="35" t="s">
        <v>359</v>
      </c>
      <c r="I30" s="35" t="s">
        <v>361</v>
      </c>
      <c r="J30" s="35" t="s">
        <v>149</v>
      </c>
    </row>
    <row r="31" spans="2:10" ht="39.75" customHeight="1" x14ac:dyDescent="0.35">
      <c r="B31" s="34" t="s">
        <v>520</v>
      </c>
      <c r="C31" s="35" t="s">
        <v>562</v>
      </c>
      <c r="D31" s="35" t="s">
        <v>245</v>
      </c>
      <c r="E31" s="35" t="s">
        <v>77</v>
      </c>
      <c r="F31" s="35" t="s">
        <v>366</v>
      </c>
      <c r="G31" s="35">
        <v>3</v>
      </c>
      <c r="H31" s="35" t="s">
        <v>292</v>
      </c>
      <c r="I31" s="35" t="s">
        <v>368</v>
      </c>
      <c r="J31" s="35" t="s">
        <v>365</v>
      </c>
    </row>
    <row r="32" spans="2:10" ht="39.75" customHeight="1" x14ac:dyDescent="0.35">
      <c r="B32" s="34" t="s">
        <v>520</v>
      </c>
      <c r="C32" s="35" t="s">
        <v>562</v>
      </c>
      <c r="D32" s="35" t="s">
        <v>369</v>
      </c>
      <c r="E32" s="35" t="s">
        <v>398</v>
      </c>
      <c r="F32" s="35" t="s">
        <v>399</v>
      </c>
      <c r="G32" s="35" t="s">
        <v>55</v>
      </c>
      <c r="H32" s="35" t="s">
        <v>400</v>
      </c>
      <c r="I32" s="35" t="s">
        <v>402</v>
      </c>
      <c r="J32" s="35" t="s">
        <v>207</v>
      </c>
    </row>
    <row r="33" spans="2:10" ht="39.75" customHeight="1" x14ac:dyDescent="0.35">
      <c r="B33" s="34" t="s">
        <v>520</v>
      </c>
      <c r="C33" s="35" t="s">
        <v>562</v>
      </c>
      <c r="D33" s="35" t="s">
        <v>369</v>
      </c>
      <c r="E33" s="35" t="s">
        <v>423</v>
      </c>
      <c r="F33" s="35" t="s">
        <v>424</v>
      </c>
      <c r="G33" s="35" t="s">
        <v>53</v>
      </c>
      <c r="H33" s="35" t="s">
        <v>425</v>
      </c>
      <c r="I33" s="35" t="s">
        <v>427</v>
      </c>
      <c r="J33" s="35" t="s">
        <v>207</v>
      </c>
    </row>
    <row r="34" spans="2:10" ht="39.75" customHeight="1" x14ac:dyDescent="0.35">
      <c r="B34" s="34" t="s">
        <v>520</v>
      </c>
      <c r="C34" s="35" t="s">
        <v>562</v>
      </c>
      <c r="D34" s="35" t="s">
        <v>369</v>
      </c>
      <c r="E34" s="35" t="s">
        <v>454</v>
      </c>
      <c r="F34" s="35" t="s">
        <v>455</v>
      </c>
      <c r="G34" s="35" t="s">
        <v>55</v>
      </c>
      <c r="H34" s="35" t="s">
        <v>456</v>
      </c>
      <c r="I34" s="35" t="s">
        <v>458</v>
      </c>
      <c r="J34" s="35" t="s">
        <v>207</v>
      </c>
    </row>
    <row r="35" spans="2:10" ht="39.75" customHeight="1" x14ac:dyDescent="0.35">
      <c r="B35" s="34" t="s">
        <v>520</v>
      </c>
      <c r="C35" s="35" t="s">
        <v>562</v>
      </c>
      <c r="D35" s="35" t="s">
        <v>369</v>
      </c>
      <c r="E35" s="35" t="s">
        <v>469</v>
      </c>
      <c r="F35" s="35" t="s">
        <v>470</v>
      </c>
      <c r="G35" s="35" t="s">
        <v>55</v>
      </c>
      <c r="H35" s="35" t="s">
        <v>471</v>
      </c>
      <c r="I35" s="35" t="s">
        <v>473</v>
      </c>
      <c r="J35" s="35" t="s">
        <v>207</v>
      </c>
    </row>
    <row r="36" spans="2:10" ht="39.75" customHeight="1" x14ac:dyDescent="0.35">
      <c r="B36" s="34" t="s">
        <v>520</v>
      </c>
      <c r="C36" s="35" t="s">
        <v>562</v>
      </c>
      <c r="D36" s="35" t="s">
        <v>369</v>
      </c>
      <c r="E36" s="35" t="s">
        <v>502</v>
      </c>
      <c r="F36" s="35" t="s">
        <v>503</v>
      </c>
      <c r="G36" s="35" t="s">
        <v>53</v>
      </c>
      <c r="H36" s="35" t="s">
        <v>505</v>
      </c>
      <c r="I36" s="35" t="s">
        <v>507</v>
      </c>
      <c r="J36" s="35" t="s">
        <v>119</v>
      </c>
    </row>
    <row r="37" spans="2:10" ht="39.75" customHeight="1" x14ac:dyDescent="0.35">
      <c r="B37" s="34" t="s">
        <v>520</v>
      </c>
      <c r="C37" s="35" t="s">
        <v>562</v>
      </c>
      <c r="D37" s="35" t="s">
        <v>245</v>
      </c>
      <c r="E37" s="35" t="s">
        <v>259</v>
      </c>
      <c r="F37" s="35" t="s">
        <v>260</v>
      </c>
      <c r="G37" s="35">
        <v>1</v>
      </c>
      <c r="H37" s="35" t="s">
        <v>103</v>
      </c>
      <c r="I37" s="35" t="s">
        <v>262</v>
      </c>
      <c r="J37" s="35" t="s">
        <v>107</v>
      </c>
    </row>
    <row r="38" spans="2:10" ht="39.75" customHeight="1" x14ac:dyDescent="0.35">
      <c r="B38" s="34" t="s">
        <v>520</v>
      </c>
      <c r="C38" s="35" t="s">
        <v>562</v>
      </c>
      <c r="D38" s="35" t="s">
        <v>47</v>
      </c>
      <c r="E38" s="35" t="s">
        <v>150</v>
      </c>
      <c r="F38" s="35" t="s">
        <v>152</v>
      </c>
      <c r="G38" s="35" t="s">
        <v>55</v>
      </c>
      <c r="H38" s="35" t="s">
        <v>154</v>
      </c>
      <c r="I38" s="35" t="s">
        <v>156</v>
      </c>
      <c r="J38" s="35" t="s">
        <v>157</v>
      </c>
    </row>
    <row r="39" spans="2:10" ht="39.75" customHeight="1" x14ac:dyDescent="0.35">
      <c r="B39" s="34" t="s">
        <v>520</v>
      </c>
      <c r="C39" s="35" t="s">
        <v>562</v>
      </c>
      <c r="D39" s="35" t="s">
        <v>245</v>
      </c>
      <c r="E39" s="35" t="s">
        <v>253</v>
      </c>
      <c r="F39" s="35" t="s">
        <v>254</v>
      </c>
      <c r="G39" s="35">
        <v>3</v>
      </c>
      <c r="H39" s="35" t="s">
        <v>255</v>
      </c>
      <c r="I39" s="35" t="s">
        <v>257</v>
      </c>
      <c r="J39" s="35" t="s">
        <v>258</v>
      </c>
    </row>
    <row r="40" spans="2:10" ht="39.75" customHeight="1" x14ac:dyDescent="0.35">
      <c r="B40" s="34" t="s">
        <v>520</v>
      </c>
      <c r="C40" s="35" t="s">
        <v>562</v>
      </c>
      <c r="D40" s="35" t="s">
        <v>245</v>
      </c>
      <c r="E40" s="35" t="s">
        <v>295</v>
      </c>
      <c r="F40" s="35" t="s">
        <v>297</v>
      </c>
      <c r="G40" s="35">
        <v>3</v>
      </c>
      <c r="H40" s="35" t="s">
        <v>223</v>
      </c>
      <c r="I40" s="35" t="s">
        <v>299</v>
      </c>
      <c r="J40" s="35" t="s">
        <v>300</v>
      </c>
    </row>
    <row r="41" spans="2:10" ht="39.75" customHeight="1" x14ac:dyDescent="0.35">
      <c r="B41" s="34" t="s">
        <v>520</v>
      </c>
      <c r="C41" s="35" t="s">
        <v>562</v>
      </c>
      <c r="D41" s="35" t="s">
        <v>369</v>
      </c>
      <c r="E41" s="35" t="s">
        <v>418</v>
      </c>
      <c r="F41" s="35" t="s">
        <v>419</v>
      </c>
      <c r="G41" s="35" t="s">
        <v>55</v>
      </c>
      <c r="H41" s="35" t="s">
        <v>420</v>
      </c>
      <c r="I41" s="35" t="s">
        <v>422</v>
      </c>
      <c r="J41" s="35" t="s">
        <v>207</v>
      </c>
    </row>
    <row r="42" spans="2:10" ht="39.75" customHeight="1" x14ac:dyDescent="0.35">
      <c r="B42" s="34" t="s">
        <v>520</v>
      </c>
      <c r="C42" s="35" t="s">
        <v>562</v>
      </c>
      <c r="D42" s="35" t="s">
        <v>369</v>
      </c>
      <c r="E42" s="35" t="s">
        <v>508</v>
      </c>
      <c r="F42" s="35" t="s">
        <v>509</v>
      </c>
      <c r="G42" s="35" t="s">
        <v>53</v>
      </c>
      <c r="H42" s="35" t="s">
        <v>307</v>
      </c>
      <c r="I42" s="35" t="s">
        <v>511</v>
      </c>
      <c r="J42" s="35" t="s">
        <v>119</v>
      </c>
    </row>
    <row r="43" spans="2:10" ht="39.75" customHeight="1" x14ac:dyDescent="0.35">
      <c r="B43" s="36" t="s">
        <v>521</v>
      </c>
      <c r="C43" s="35" t="s">
        <v>563</v>
      </c>
      <c r="D43" s="35" t="s">
        <v>47</v>
      </c>
      <c r="E43" s="35" t="s">
        <v>108</v>
      </c>
      <c r="F43" s="35" t="s">
        <v>109</v>
      </c>
      <c r="G43" s="35" t="s">
        <v>55</v>
      </c>
      <c r="H43" s="35" t="s">
        <v>89</v>
      </c>
      <c r="I43" s="35" t="s">
        <v>112</v>
      </c>
      <c r="J43" s="35" t="s">
        <v>113</v>
      </c>
    </row>
    <row r="44" spans="2:10" ht="39.75" customHeight="1" x14ac:dyDescent="0.35">
      <c r="B44" s="36" t="s">
        <v>521</v>
      </c>
      <c r="C44" s="35" t="s">
        <v>563</v>
      </c>
      <c r="D44" s="35" t="s">
        <v>245</v>
      </c>
      <c r="E44" s="35" t="s">
        <v>305</v>
      </c>
      <c r="F44" s="35" t="s">
        <v>306</v>
      </c>
      <c r="G44" s="35">
        <v>3</v>
      </c>
      <c r="H44" s="35" t="s">
        <v>307</v>
      </c>
      <c r="I44" s="35" t="s">
        <v>310</v>
      </c>
      <c r="J44" s="35" t="s">
        <v>119</v>
      </c>
    </row>
    <row r="45" spans="2:10" ht="39.75" customHeight="1" x14ac:dyDescent="0.35">
      <c r="B45" s="36" t="s">
        <v>521</v>
      </c>
      <c r="C45" s="35" t="s">
        <v>563</v>
      </c>
      <c r="D45" s="35" t="s">
        <v>369</v>
      </c>
      <c r="E45" s="35" t="s">
        <v>439</v>
      </c>
      <c r="F45" s="35" t="s">
        <v>440</v>
      </c>
      <c r="G45" s="35" t="s">
        <v>53</v>
      </c>
      <c r="H45" s="35" t="s">
        <v>441</v>
      </c>
      <c r="I45" s="35" t="s">
        <v>443</v>
      </c>
      <c r="J45" s="35" t="s">
        <v>207</v>
      </c>
    </row>
    <row r="46" spans="2:10" ht="39.75" customHeight="1" x14ac:dyDescent="0.35">
      <c r="B46" s="36" t="s">
        <v>521</v>
      </c>
      <c r="C46" s="35" t="s">
        <v>563</v>
      </c>
      <c r="D46" s="35" t="s">
        <v>369</v>
      </c>
      <c r="E46" s="35" t="s">
        <v>444</v>
      </c>
      <c r="F46" s="35" t="s">
        <v>446</v>
      </c>
      <c r="G46" s="35" t="s">
        <v>55</v>
      </c>
      <c r="H46" s="35" t="s">
        <v>103</v>
      </c>
      <c r="I46" s="35" t="s">
        <v>448</v>
      </c>
      <c r="J46" s="35" t="s">
        <v>438</v>
      </c>
    </row>
    <row r="47" spans="2:10" ht="39.75" customHeight="1" x14ac:dyDescent="0.35">
      <c r="B47" s="36" t="s">
        <v>521</v>
      </c>
      <c r="C47" s="35" t="s">
        <v>563</v>
      </c>
      <c r="D47" s="35" t="s">
        <v>369</v>
      </c>
      <c r="E47" s="35" t="s">
        <v>512</v>
      </c>
      <c r="F47" s="35" t="s">
        <v>513</v>
      </c>
      <c r="G47" s="35" t="s">
        <v>55</v>
      </c>
      <c r="H47" s="35" t="s">
        <v>229</v>
      </c>
      <c r="I47" s="35" t="s">
        <v>516</v>
      </c>
      <c r="J47" s="35" t="s">
        <v>517</v>
      </c>
    </row>
    <row r="48" spans="2:10" ht="39.75" customHeight="1" x14ac:dyDescent="0.35">
      <c r="B48" s="36" t="s">
        <v>521</v>
      </c>
      <c r="C48" s="35" t="s">
        <v>563</v>
      </c>
      <c r="D48" s="35" t="s">
        <v>47</v>
      </c>
      <c r="E48" s="35" t="s">
        <v>100</v>
      </c>
      <c r="F48" s="35" t="s">
        <v>101</v>
      </c>
      <c r="G48" s="35" t="s">
        <v>53</v>
      </c>
      <c r="H48" s="35" t="s">
        <v>103</v>
      </c>
      <c r="I48" s="35" t="s">
        <v>106</v>
      </c>
      <c r="J48" s="35" t="s">
        <v>107</v>
      </c>
    </row>
    <row r="49" spans="2:10" ht="39.75" customHeight="1" x14ac:dyDescent="0.35">
      <c r="B49" s="36" t="s">
        <v>521</v>
      </c>
      <c r="C49" s="35" t="s">
        <v>563</v>
      </c>
      <c r="D49" s="35" t="s">
        <v>47</v>
      </c>
      <c r="E49" s="35" t="s">
        <v>120</v>
      </c>
      <c r="F49" s="35" t="s">
        <v>122</v>
      </c>
      <c r="G49" s="35" t="s">
        <v>53</v>
      </c>
      <c r="H49" s="35" t="s">
        <v>89</v>
      </c>
      <c r="I49" s="35" t="s">
        <v>125</v>
      </c>
      <c r="J49" s="35" t="s">
        <v>99</v>
      </c>
    </row>
    <row r="50" spans="2:10" ht="39.75" customHeight="1" x14ac:dyDescent="0.35">
      <c r="B50" s="36" t="s">
        <v>521</v>
      </c>
      <c r="C50" s="35" t="s">
        <v>563</v>
      </c>
      <c r="D50" s="35" t="s">
        <v>47</v>
      </c>
      <c r="E50" s="35" t="s">
        <v>126</v>
      </c>
      <c r="F50" s="35" t="s">
        <v>127</v>
      </c>
      <c r="G50" s="35" t="s">
        <v>53</v>
      </c>
      <c r="H50" s="35" t="s">
        <v>89</v>
      </c>
      <c r="I50" s="35" t="s">
        <v>130</v>
      </c>
      <c r="J50" s="35" t="s">
        <v>99</v>
      </c>
    </row>
    <row r="51" spans="2:10" ht="39.75" customHeight="1" x14ac:dyDescent="0.35">
      <c r="B51" s="36" t="s">
        <v>521</v>
      </c>
      <c r="C51" s="35" t="s">
        <v>563</v>
      </c>
      <c r="D51" s="35" t="s">
        <v>47</v>
      </c>
      <c r="E51" s="35" t="s">
        <v>142</v>
      </c>
      <c r="F51" s="35" t="s">
        <v>143</v>
      </c>
      <c r="G51" s="35" t="s">
        <v>55</v>
      </c>
      <c r="H51" s="35" t="s">
        <v>145</v>
      </c>
      <c r="I51" s="35" t="s">
        <v>148</v>
      </c>
      <c r="J51" s="35" t="s">
        <v>149</v>
      </c>
    </row>
    <row r="52" spans="2:10" ht="39.75" customHeight="1" x14ac:dyDescent="0.35">
      <c r="B52" s="36" t="s">
        <v>521</v>
      </c>
      <c r="C52" s="35" t="s">
        <v>563</v>
      </c>
      <c r="D52" s="35" t="s">
        <v>245</v>
      </c>
      <c r="E52" s="35" t="s">
        <v>311</v>
      </c>
      <c r="F52" s="35" t="s">
        <v>312</v>
      </c>
      <c r="G52" s="35">
        <v>3</v>
      </c>
      <c r="H52" s="35" t="s">
        <v>313</v>
      </c>
      <c r="I52" s="35" t="s">
        <v>315</v>
      </c>
      <c r="J52" s="35" t="s">
        <v>171</v>
      </c>
    </row>
    <row r="53" spans="2:10" ht="39.75" customHeight="1" x14ac:dyDescent="0.35">
      <c r="B53" s="37" t="s">
        <v>522</v>
      </c>
      <c r="C53" s="35" t="s">
        <v>564</v>
      </c>
      <c r="D53" s="35" t="s">
        <v>47</v>
      </c>
      <c r="E53" s="35" t="s">
        <v>48</v>
      </c>
      <c r="F53" s="35" t="s">
        <v>50</v>
      </c>
      <c r="G53" s="35" t="s">
        <v>53</v>
      </c>
      <c r="H53" s="35" t="s">
        <v>52</v>
      </c>
      <c r="I53" s="35" t="s">
        <v>58</v>
      </c>
      <c r="J53" s="35" t="s">
        <v>59</v>
      </c>
    </row>
  </sheetData>
  <sheetProtection sheet="1" objects="1" scenarios="1"/>
  <autoFilter ref="B4:J53" xr:uid="{00000000-0009-0000-0000-000005000000}"/>
  <mergeCells count="1">
    <mergeCell ref="B2:I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  <pageSetUpPr fitToPage="1"/>
  </sheetPr>
  <dimension ref="B2:J72"/>
  <sheetViews>
    <sheetView showGridLines="0" zoomScaleNormal="100" workbookViewId="0">
      <selection activeCell="A3" sqref="A3:XFD3"/>
    </sheetView>
  </sheetViews>
  <sheetFormatPr baseColWidth="10" defaultColWidth="8.6328125" defaultRowHeight="14.5" x14ac:dyDescent="0.35"/>
  <cols>
    <col min="1" max="1" width="8.6328125" style="33"/>
    <col min="2" max="3" width="11" style="33" customWidth="1"/>
    <col min="4" max="4" width="16" style="33" customWidth="1"/>
    <col min="5" max="5" width="7" style="33" customWidth="1"/>
    <col min="6" max="6" width="40" style="33" customWidth="1"/>
    <col min="7" max="7" width="13" style="33" customWidth="1"/>
    <col min="8" max="8" width="38" style="33" customWidth="1"/>
    <col min="9" max="9" width="44" style="33" customWidth="1"/>
    <col min="10" max="10" width="22" style="33" customWidth="1"/>
    <col min="11" max="16384" width="8.6328125" style="33"/>
  </cols>
  <sheetData>
    <row r="2" spans="2:10" ht="27.75" customHeight="1" x14ac:dyDescent="0.35">
      <c r="B2" s="39" t="s">
        <v>565</v>
      </c>
      <c r="C2" s="39"/>
      <c r="D2" s="39"/>
      <c r="E2" s="39"/>
      <c r="F2" s="39"/>
      <c r="G2" s="39"/>
      <c r="H2" s="39"/>
      <c r="I2" s="39"/>
    </row>
    <row r="4" spans="2:10" ht="25.5" customHeight="1" x14ac:dyDescent="0.35">
      <c r="B4" s="40" t="s">
        <v>40</v>
      </c>
      <c r="C4" s="40" t="s">
        <v>559</v>
      </c>
      <c r="D4" s="40" t="s">
        <v>24</v>
      </c>
      <c r="E4" s="40" t="s">
        <v>25</v>
      </c>
      <c r="F4" s="40" t="s">
        <v>27</v>
      </c>
      <c r="G4" s="40" t="s">
        <v>560</v>
      </c>
      <c r="H4" s="40" t="s">
        <v>561</v>
      </c>
      <c r="I4" s="40" t="s">
        <v>44</v>
      </c>
      <c r="J4" s="40" t="s">
        <v>45</v>
      </c>
    </row>
    <row r="5" spans="2:10" ht="39.75" customHeight="1" x14ac:dyDescent="0.35">
      <c r="B5" s="34" t="s">
        <v>520</v>
      </c>
      <c r="C5" s="35" t="s">
        <v>562</v>
      </c>
      <c r="D5" s="35" t="s">
        <v>47</v>
      </c>
      <c r="E5" s="35" t="s">
        <v>114</v>
      </c>
      <c r="F5" s="35" t="s">
        <v>115</v>
      </c>
      <c r="G5" s="35" t="s">
        <v>55</v>
      </c>
      <c r="H5" s="35" t="s">
        <v>89</v>
      </c>
      <c r="I5" s="35" t="s">
        <v>118</v>
      </c>
      <c r="J5" s="35" t="s">
        <v>119</v>
      </c>
    </row>
    <row r="6" spans="2:10" ht="39.75" customHeight="1" x14ac:dyDescent="0.35">
      <c r="B6" s="34" t="s">
        <v>520</v>
      </c>
      <c r="C6" s="35" t="s">
        <v>562</v>
      </c>
      <c r="D6" s="35" t="s">
        <v>47</v>
      </c>
      <c r="E6" s="35" t="s">
        <v>158</v>
      </c>
      <c r="F6" s="35" t="s">
        <v>159</v>
      </c>
      <c r="G6" s="35" t="s">
        <v>55</v>
      </c>
      <c r="H6" s="35" t="s">
        <v>161</v>
      </c>
      <c r="I6" s="35" t="s">
        <v>163</v>
      </c>
      <c r="J6" s="35" t="s">
        <v>164</v>
      </c>
    </row>
    <row r="7" spans="2:10" ht="39.75" customHeight="1" x14ac:dyDescent="0.35">
      <c r="B7" s="34" t="s">
        <v>520</v>
      </c>
      <c r="C7" s="35" t="s">
        <v>562</v>
      </c>
      <c r="D7" s="35" t="s">
        <v>47</v>
      </c>
      <c r="E7" s="35" t="s">
        <v>190</v>
      </c>
      <c r="F7" s="35" t="s">
        <v>191</v>
      </c>
      <c r="G7" s="35" t="s">
        <v>55</v>
      </c>
      <c r="H7" s="35" t="s">
        <v>193</v>
      </c>
      <c r="I7" s="35" t="s">
        <v>195</v>
      </c>
      <c r="J7" s="35" t="s">
        <v>149</v>
      </c>
    </row>
    <row r="8" spans="2:10" ht="39.75" customHeight="1" x14ac:dyDescent="0.35">
      <c r="B8" s="34" t="s">
        <v>520</v>
      </c>
      <c r="C8" s="35" t="s">
        <v>562</v>
      </c>
      <c r="D8" s="35" t="s">
        <v>47</v>
      </c>
      <c r="E8" s="35" t="s">
        <v>202</v>
      </c>
      <c r="F8" s="35" t="s">
        <v>203</v>
      </c>
      <c r="G8" s="35" t="s">
        <v>55</v>
      </c>
      <c r="H8" s="35" t="s">
        <v>204</v>
      </c>
      <c r="I8" s="35" t="s">
        <v>206</v>
      </c>
      <c r="J8" s="35" t="s">
        <v>207</v>
      </c>
    </row>
    <row r="9" spans="2:10" ht="39.75" customHeight="1" x14ac:dyDescent="0.35">
      <c r="B9" s="34" t="s">
        <v>520</v>
      </c>
      <c r="C9" s="35" t="s">
        <v>562</v>
      </c>
      <c r="D9" s="35" t="s">
        <v>47</v>
      </c>
      <c r="E9" s="35" t="s">
        <v>227</v>
      </c>
      <c r="F9" s="35" t="s">
        <v>228</v>
      </c>
      <c r="G9" s="35" t="s">
        <v>55</v>
      </c>
      <c r="H9" s="35" t="s">
        <v>229</v>
      </c>
      <c r="I9" s="35" t="s">
        <v>231</v>
      </c>
      <c r="J9" s="35" t="s">
        <v>232</v>
      </c>
    </row>
    <row r="10" spans="2:10" ht="39.75" customHeight="1" x14ac:dyDescent="0.35">
      <c r="B10" s="34" t="s">
        <v>520</v>
      </c>
      <c r="C10" s="35" t="s">
        <v>562</v>
      </c>
      <c r="D10" s="35" t="s">
        <v>245</v>
      </c>
      <c r="E10" s="35" t="s">
        <v>246</v>
      </c>
      <c r="F10" s="35" t="s">
        <v>248</v>
      </c>
      <c r="G10" s="35">
        <v>1</v>
      </c>
      <c r="H10" s="35" t="s">
        <v>154</v>
      </c>
      <c r="I10" s="35" t="s">
        <v>250</v>
      </c>
      <c r="J10" s="35" t="s">
        <v>251</v>
      </c>
    </row>
    <row r="11" spans="2:10" ht="39.75" customHeight="1" x14ac:dyDescent="0.35">
      <c r="B11" s="34" t="s">
        <v>520</v>
      </c>
      <c r="C11" s="35" t="s">
        <v>562</v>
      </c>
      <c r="D11" s="35" t="s">
        <v>245</v>
      </c>
      <c r="E11" s="35" t="s">
        <v>276</v>
      </c>
      <c r="F11" s="35" t="s">
        <v>277</v>
      </c>
      <c r="G11" s="35">
        <v>1</v>
      </c>
      <c r="H11" s="35" t="s">
        <v>52</v>
      </c>
      <c r="I11" s="35" t="s">
        <v>279</v>
      </c>
      <c r="J11" s="35" t="s">
        <v>149</v>
      </c>
    </row>
    <row r="12" spans="2:10" ht="39.75" customHeight="1" x14ac:dyDescent="0.35">
      <c r="B12" s="34" t="s">
        <v>520</v>
      </c>
      <c r="C12" s="35" t="s">
        <v>562</v>
      </c>
      <c r="D12" s="35" t="s">
        <v>245</v>
      </c>
      <c r="E12" s="35" t="s">
        <v>280</v>
      </c>
      <c r="F12" s="35" t="s">
        <v>281</v>
      </c>
      <c r="G12" s="35">
        <v>1</v>
      </c>
      <c r="H12" s="35" t="s">
        <v>89</v>
      </c>
      <c r="I12" s="35" t="s">
        <v>283</v>
      </c>
      <c r="J12" s="35" t="s">
        <v>149</v>
      </c>
    </row>
    <row r="13" spans="2:10" ht="39.75" customHeight="1" x14ac:dyDescent="0.35">
      <c r="B13" s="34" t="s">
        <v>520</v>
      </c>
      <c r="C13" s="35" t="s">
        <v>562</v>
      </c>
      <c r="D13" s="35" t="s">
        <v>245</v>
      </c>
      <c r="E13" s="35" t="s">
        <v>289</v>
      </c>
      <c r="F13" s="35" t="s">
        <v>290</v>
      </c>
      <c r="G13" s="35">
        <v>1</v>
      </c>
      <c r="H13" s="35" t="s">
        <v>292</v>
      </c>
      <c r="I13" s="35" t="s">
        <v>294</v>
      </c>
      <c r="J13" s="35" t="s">
        <v>149</v>
      </c>
    </row>
    <row r="14" spans="2:10" ht="39.75" customHeight="1" x14ac:dyDescent="0.35">
      <c r="B14" s="34" t="s">
        <v>520</v>
      </c>
      <c r="C14" s="35" t="s">
        <v>562</v>
      </c>
      <c r="D14" s="35" t="s">
        <v>245</v>
      </c>
      <c r="E14" s="35" t="s">
        <v>316</v>
      </c>
      <c r="F14" s="35" t="s">
        <v>318</v>
      </c>
      <c r="G14" s="35">
        <v>1</v>
      </c>
      <c r="H14" s="35" t="s">
        <v>187</v>
      </c>
      <c r="I14" s="35" t="s">
        <v>320</v>
      </c>
      <c r="J14" s="35" t="s">
        <v>119</v>
      </c>
    </row>
    <row r="15" spans="2:10" ht="39.75" customHeight="1" x14ac:dyDescent="0.35">
      <c r="B15" s="34" t="s">
        <v>520</v>
      </c>
      <c r="C15" s="35" t="s">
        <v>562</v>
      </c>
      <c r="D15" s="35" t="s">
        <v>245</v>
      </c>
      <c r="E15" s="35" t="s">
        <v>48</v>
      </c>
      <c r="F15" s="35" t="s">
        <v>354</v>
      </c>
      <c r="G15" s="35">
        <v>1</v>
      </c>
      <c r="H15" s="35" t="s">
        <v>229</v>
      </c>
      <c r="I15" s="35" t="s">
        <v>356</v>
      </c>
      <c r="J15" s="35" t="s">
        <v>357</v>
      </c>
    </row>
    <row r="16" spans="2:10" ht="39.75" customHeight="1" x14ac:dyDescent="0.35">
      <c r="B16" s="34" t="s">
        <v>520</v>
      </c>
      <c r="C16" s="35" t="s">
        <v>562</v>
      </c>
      <c r="D16" s="35" t="s">
        <v>245</v>
      </c>
      <c r="E16" s="35" t="s">
        <v>69</v>
      </c>
      <c r="F16" s="35" t="s">
        <v>362</v>
      </c>
      <c r="G16" s="35">
        <v>1</v>
      </c>
      <c r="H16" s="35" t="s">
        <v>292</v>
      </c>
      <c r="I16" s="35" t="s">
        <v>364</v>
      </c>
      <c r="J16" s="35" t="s">
        <v>365</v>
      </c>
    </row>
    <row r="17" spans="2:10" ht="39.75" customHeight="1" x14ac:dyDescent="0.35">
      <c r="B17" s="34" t="s">
        <v>520</v>
      </c>
      <c r="C17" s="35" t="s">
        <v>562</v>
      </c>
      <c r="D17" s="35" t="s">
        <v>245</v>
      </c>
      <c r="E17" s="35" t="s">
        <v>301</v>
      </c>
      <c r="F17" s="35" t="s">
        <v>302</v>
      </c>
      <c r="G17" s="35">
        <v>1</v>
      </c>
      <c r="H17" s="35" t="s">
        <v>223</v>
      </c>
      <c r="I17" s="35" t="s">
        <v>304</v>
      </c>
      <c r="J17" s="35" t="s">
        <v>226</v>
      </c>
    </row>
    <row r="18" spans="2:10" ht="39.75" customHeight="1" x14ac:dyDescent="0.35">
      <c r="B18" s="34" t="s">
        <v>520</v>
      </c>
      <c r="C18" s="35" t="s">
        <v>562</v>
      </c>
      <c r="D18" s="35" t="s">
        <v>245</v>
      </c>
      <c r="E18" s="35" t="s">
        <v>326</v>
      </c>
      <c r="F18" s="35" t="s">
        <v>327</v>
      </c>
      <c r="G18" s="35">
        <v>2</v>
      </c>
      <c r="H18" s="35" t="s">
        <v>193</v>
      </c>
      <c r="I18" s="35" t="s">
        <v>329</v>
      </c>
      <c r="J18" s="35" t="s">
        <v>149</v>
      </c>
    </row>
    <row r="19" spans="2:10" ht="39.75" customHeight="1" x14ac:dyDescent="0.35">
      <c r="B19" s="34" t="s">
        <v>520</v>
      </c>
      <c r="C19" s="35" t="s">
        <v>562</v>
      </c>
      <c r="D19" s="35" t="s">
        <v>47</v>
      </c>
      <c r="E19" s="35" t="s">
        <v>77</v>
      </c>
      <c r="F19" s="35" t="s">
        <v>78</v>
      </c>
      <c r="G19" s="35" t="s">
        <v>55</v>
      </c>
      <c r="H19" s="35" t="s">
        <v>80</v>
      </c>
      <c r="I19" s="35" t="s">
        <v>83</v>
      </c>
      <c r="J19" s="35" t="s">
        <v>84</v>
      </c>
    </row>
    <row r="20" spans="2:10" ht="39.75" customHeight="1" x14ac:dyDescent="0.35">
      <c r="B20" s="34" t="s">
        <v>520</v>
      </c>
      <c r="C20" s="35" t="s">
        <v>562</v>
      </c>
      <c r="D20" s="35" t="s">
        <v>47</v>
      </c>
      <c r="E20" s="35" t="s">
        <v>131</v>
      </c>
      <c r="F20" s="35" t="s">
        <v>132</v>
      </c>
      <c r="G20" s="35" t="s">
        <v>55</v>
      </c>
      <c r="H20" s="35" t="s">
        <v>89</v>
      </c>
      <c r="I20" s="35" t="s">
        <v>135</v>
      </c>
      <c r="J20" s="35" t="s">
        <v>136</v>
      </c>
    </row>
    <row r="21" spans="2:10" ht="39.75" customHeight="1" x14ac:dyDescent="0.35">
      <c r="B21" s="34" t="s">
        <v>520</v>
      </c>
      <c r="C21" s="35" t="s">
        <v>562</v>
      </c>
      <c r="D21" s="35" t="s">
        <v>47</v>
      </c>
      <c r="E21" s="35" t="s">
        <v>137</v>
      </c>
      <c r="F21" s="35" t="s">
        <v>138</v>
      </c>
      <c r="G21" s="35" t="s">
        <v>55</v>
      </c>
      <c r="H21" s="35" t="s">
        <v>89</v>
      </c>
      <c r="I21" s="35" t="s">
        <v>141</v>
      </c>
      <c r="J21" s="35" t="s">
        <v>99</v>
      </c>
    </row>
    <row r="22" spans="2:10" ht="39.75" customHeight="1" x14ac:dyDescent="0.35">
      <c r="B22" s="34" t="s">
        <v>520</v>
      </c>
      <c r="C22" s="35" t="s">
        <v>562</v>
      </c>
      <c r="D22" s="35" t="s">
        <v>47</v>
      </c>
      <c r="E22" s="35" t="s">
        <v>196</v>
      </c>
      <c r="F22" s="35" t="s">
        <v>197</v>
      </c>
      <c r="G22" s="35" t="s">
        <v>55</v>
      </c>
      <c r="H22" s="35" t="s">
        <v>199</v>
      </c>
      <c r="I22" s="35" t="s">
        <v>201</v>
      </c>
      <c r="J22" s="35" t="s">
        <v>119</v>
      </c>
    </row>
    <row r="23" spans="2:10" ht="39.75" customHeight="1" x14ac:dyDescent="0.35">
      <c r="B23" s="34" t="s">
        <v>520</v>
      </c>
      <c r="C23" s="35" t="s">
        <v>562</v>
      </c>
      <c r="D23" s="35" t="s">
        <v>47</v>
      </c>
      <c r="E23" s="35" t="s">
        <v>208</v>
      </c>
      <c r="F23" s="35" t="s">
        <v>209</v>
      </c>
      <c r="G23" s="35" t="s">
        <v>55</v>
      </c>
      <c r="H23" s="35" t="s">
        <v>210</v>
      </c>
      <c r="I23" s="35" t="s">
        <v>212</v>
      </c>
      <c r="J23" s="35" t="s">
        <v>207</v>
      </c>
    </row>
    <row r="24" spans="2:10" ht="39.75" customHeight="1" x14ac:dyDescent="0.35">
      <c r="B24" s="34" t="s">
        <v>520</v>
      </c>
      <c r="C24" s="35" t="s">
        <v>562</v>
      </c>
      <c r="D24" s="35" t="s">
        <v>47</v>
      </c>
      <c r="E24" s="35" t="s">
        <v>213</v>
      </c>
      <c r="F24" s="35" t="s">
        <v>214</v>
      </c>
      <c r="G24" s="35" t="s">
        <v>55</v>
      </c>
      <c r="H24" s="35" t="s">
        <v>216</v>
      </c>
      <c r="I24" s="35" t="s">
        <v>218</v>
      </c>
      <c r="J24" s="35" t="s">
        <v>219</v>
      </c>
    </row>
    <row r="25" spans="2:10" ht="39.75" customHeight="1" x14ac:dyDescent="0.35">
      <c r="B25" s="34" t="s">
        <v>520</v>
      </c>
      <c r="C25" s="35" t="s">
        <v>562</v>
      </c>
      <c r="D25" s="35" t="s">
        <v>47</v>
      </c>
      <c r="E25" s="35" t="s">
        <v>220</v>
      </c>
      <c r="F25" s="35" t="s">
        <v>222</v>
      </c>
      <c r="G25" s="35" t="s">
        <v>55</v>
      </c>
      <c r="H25" s="35" t="s">
        <v>223</v>
      </c>
      <c r="I25" s="35" t="s">
        <v>225</v>
      </c>
      <c r="J25" s="35" t="s">
        <v>226</v>
      </c>
    </row>
    <row r="26" spans="2:10" ht="39.75" customHeight="1" x14ac:dyDescent="0.35">
      <c r="B26" s="34" t="s">
        <v>520</v>
      </c>
      <c r="C26" s="35" t="s">
        <v>562</v>
      </c>
      <c r="D26" s="35" t="s">
        <v>47</v>
      </c>
      <c r="E26" s="35" t="s">
        <v>233</v>
      </c>
      <c r="F26" s="35" t="s">
        <v>234</v>
      </c>
      <c r="G26" s="35" t="s">
        <v>55</v>
      </c>
      <c r="H26" s="35" t="s">
        <v>236</v>
      </c>
      <c r="I26" s="35" t="s">
        <v>238</v>
      </c>
      <c r="J26" s="35" t="s">
        <v>239</v>
      </c>
    </row>
    <row r="27" spans="2:10" ht="39.75" customHeight="1" x14ac:dyDescent="0.35">
      <c r="B27" s="34" t="s">
        <v>520</v>
      </c>
      <c r="C27" s="35" t="s">
        <v>562</v>
      </c>
      <c r="D27" s="35" t="s">
        <v>245</v>
      </c>
      <c r="E27" s="35" t="s">
        <v>269</v>
      </c>
      <c r="F27" s="35" t="s">
        <v>271</v>
      </c>
      <c r="G27" s="35">
        <v>2</v>
      </c>
      <c r="H27" s="35" t="s">
        <v>272</v>
      </c>
      <c r="I27" s="35" t="s">
        <v>274</v>
      </c>
      <c r="J27" s="35" t="s">
        <v>275</v>
      </c>
    </row>
    <row r="28" spans="2:10" ht="39.75" customHeight="1" x14ac:dyDescent="0.35">
      <c r="B28" s="34" t="s">
        <v>520</v>
      </c>
      <c r="C28" s="35" t="s">
        <v>562</v>
      </c>
      <c r="D28" s="35" t="s">
        <v>245</v>
      </c>
      <c r="E28" s="35" t="s">
        <v>284</v>
      </c>
      <c r="F28" s="35" t="s">
        <v>285</v>
      </c>
      <c r="G28" s="35">
        <v>1</v>
      </c>
      <c r="H28" s="35" t="s">
        <v>286</v>
      </c>
      <c r="I28" s="35" t="s">
        <v>288</v>
      </c>
      <c r="J28" s="35" t="s">
        <v>119</v>
      </c>
    </row>
    <row r="29" spans="2:10" ht="39.75" customHeight="1" x14ac:dyDescent="0.35">
      <c r="B29" s="34" t="s">
        <v>520</v>
      </c>
      <c r="C29" s="35" t="s">
        <v>562</v>
      </c>
      <c r="D29" s="35" t="s">
        <v>245</v>
      </c>
      <c r="E29" s="35" t="s">
        <v>321</v>
      </c>
      <c r="F29" s="35" t="s">
        <v>322</v>
      </c>
      <c r="G29" s="35">
        <v>2</v>
      </c>
      <c r="H29" s="35" t="s">
        <v>323</v>
      </c>
      <c r="I29" s="35" t="s">
        <v>325</v>
      </c>
      <c r="J29" s="35" t="s">
        <v>119</v>
      </c>
    </row>
    <row r="30" spans="2:10" ht="39.75" customHeight="1" x14ac:dyDescent="0.35">
      <c r="B30" s="34" t="s">
        <v>520</v>
      </c>
      <c r="C30" s="35" t="s">
        <v>562</v>
      </c>
      <c r="D30" s="35" t="s">
        <v>245</v>
      </c>
      <c r="E30" s="35" t="s">
        <v>61</v>
      </c>
      <c r="F30" s="35" t="s">
        <v>358</v>
      </c>
      <c r="G30" s="35">
        <v>1</v>
      </c>
      <c r="H30" s="35" t="s">
        <v>359</v>
      </c>
      <c r="I30" s="35" t="s">
        <v>361</v>
      </c>
      <c r="J30" s="35" t="s">
        <v>149</v>
      </c>
    </row>
    <row r="31" spans="2:10" ht="39.75" customHeight="1" x14ac:dyDescent="0.35">
      <c r="B31" s="34" t="s">
        <v>520</v>
      </c>
      <c r="C31" s="35" t="s">
        <v>562</v>
      </c>
      <c r="D31" s="35" t="s">
        <v>245</v>
      </c>
      <c r="E31" s="35" t="s">
        <v>77</v>
      </c>
      <c r="F31" s="35" t="s">
        <v>366</v>
      </c>
      <c r="G31" s="35">
        <v>1</v>
      </c>
      <c r="H31" s="35" t="s">
        <v>292</v>
      </c>
      <c r="I31" s="35" t="s">
        <v>368</v>
      </c>
      <c r="J31" s="35" t="s">
        <v>365</v>
      </c>
    </row>
    <row r="32" spans="2:10" ht="39.75" customHeight="1" x14ac:dyDescent="0.35">
      <c r="B32" s="34" t="s">
        <v>520</v>
      </c>
      <c r="C32" s="35" t="s">
        <v>562</v>
      </c>
      <c r="D32" s="35" t="s">
        <v>369</v>
      </c>
      <c r="E32" s="35" t="s">
        <v>398</v>
      </c>
      <c r="F32" s="35" t="s">
        <v>399</v>
      </c>
      <c r="G32" s="35" t="s">
        <v>53</v>
      </c>
      <c r="H32" s="35" t="s">
        <v>400</v>
      </c>
      <c r="I32" s="35" t="s">
        <v>402</v>
      </c>
      <c r="J32" s="35" t="s">
        <v>207</v>
      </c>
    </row>
    <row r="33" spans="2:10" ht="39.75" customHeight="1" x14ac:dyDescent="0.35">
      <c r="B33" s="34" t="s">
        <v>520</v>
      </c>
      <c r="C33" s="35" t="s">
        <v>562</v>
      </c>
      <c r="D33" s="35" t="s">
        <v>369</v>
      </c>
      <c r="E33" s="35" t="s">
        <v>423</v>
      </c>
      <c r="F33" s="35" t="s">
        <v>424</v>
      </c>
      <c r="G33" s="35" t="s">
        <v>55</v>
      </c>
      <c r="H33" s="35" t="s">
        <v>425</v>
      </c>
      <c r="I33" s="35" t="s">
        <v>427</v>
      </c>
      <c r="J33" s="35" t="s">
        <v>207</v>
      </c>
    </row>
    <row r="34" spans="2:10" ht="39.75" customHeight="1" x14ac:dyDescent="0.35">
      <c r="B34" s="34" t="s">
        <v>520</v>
      </c>
      <c r="C34" s="35" t="s">
        <v>562</v>
      </c>
      <c r="D34" s="35" t="s">
        <v>369</v>
      </c>
      <c r="E34" s="35" t="s">
        <v>454</v>
      </c>
      <c r="F34" s="35" t="s">
        <v>455</v>
      </c>
      <c r="G34" s="35" t="s">
        <v>53</v>
      </c>
      <c r="H34" s="35" t="s">
        <v>456</v>
      </c>
      <c r="I34" s="35" t="s">
        <v>458</v>
      </c>
      <c r="J34" s="35" t="s">
        <v>207</v>
      </c>
    </row>
    <row r="35" spans="2:10" ht="39.75" customHeight="1" x14ac:dyDescent="0.35">
      <c r="B35" s="34" t="s">
        <v>520</v>
      </c>
      <c r="C35" s="35" t="s">
        <v>562</v>
      </c>
      <c r="D35" s="35" t="s">
        <v>369</v>
      </c>
      <c r="E35" s="35" t="s">
        <v>469</v>
      </c>
      <c r="F35" s="35" t="s">
        <v>470</v>
      </c>
      <c r="G35" s="35" t="s">
        <v>53</v>
      </c>
      <c r="H35" s="35" t="s">
        <v>471</v>
      </c>
      <c r="I35" s="35" t="s">
        <v>473</v>
      </c>
      <c r="J35" s="35" t="s">
        <v>207</v>
      </c>
    </row>
    <row r="36" spans="2:10" ht="39.75" customHeight="1" x14ac:dyDescent="0.35">
      <c r="B36" s="34" t="s">
        <v>520</v>
      </c>
      <c r="C36" s="35" t="s">
        <v>562</v>
      </c>
      <c r="D36" s="35" t="s">
        <v>369</v>
      </c>
      <c r="E36" s="35" t="s">
        <v>502</v>
      </c>
      <c r="F36" s="35" t="s">
        <v>503</v>
      </c>
      <c r="G36" s="35" t="s">
        <v>55</v>
      </c>
      <c r="H36" s="35" t="s">
        <v>505</v>
      </c>
      <c r="I36" s="35" t="s">
        <v>507</v>
      </c>
      <c r="J36" s="35" t="s">
        <v>119</v>
      </c>
    </row>
    <row r="37" spans="2:10" ht="39.75" customHeight="1" x14ac:dyDescent="0.35">
      <c r="B37" s="34" t="s">
        <v>520</v>
      </c>
      <c r="C37" s="35" t="s">
        <v>562</v>
      </c>
      <c r="D37" s="35" t="s">
        <v>245</v>
      </c>
      <c r="E37" s="35" t="s">
        <v>259</v>
      </c>
      <c r="F37" s="35" t="s">
        <v>260</v>
      </c>
      <c r="G37" s="35">
        <v>3</v>
      </c>
      <c r="H37" s="35" t="s">
        <v>103</v>
      </c>
      <c r="I37" s="35" t="s">
        <v>262</v>
      </c>
      <c r="J37" s="35" t="s">
        <v>107</v>
      </c>
    </row>
    <row r="38" spans="2:10" ht="39.75" customHeight="1" x14ac:dyDescent="0.35">
      <c r="B38" s="34" t="s">
        <v>520</v>
      </c>
      <c r="C38" s="35" t="s">
        <v>562</v>
      </c>
      <c r="D38" s="35" t="s">
        <v>47</v>
      </c>
      <c r="E38" s="35" t="s">
        <v>150</v>
      </c>
      <c r="F38" s="35" t="s">
        <v>152</v>
      </c>
      <c r="G38" s="35" t="s">
        <v>55</v>
      </c>
      <c r="H38" s="35" t="s">
        <v>154</v>
      </c>
      <c r="I38" s="35" t="s">
        <v>156</v>
      </c>
      <c r="J38" s="35" t="s">
        <v>157</v>
      </c>
    </row>
    <row r="39" spans="2:10" ht="39.75" customHeight="1" x14ac:dyDescent="0.35">
      <c r="B39" s="34" t="s">
        <v>520</v>
      </c>
      <c r="C39" s="35" t="s">
        <v>562</v>
      </c>
      <c r="D39" s="35" t="s">
        <v>245</v>
      </c>
      <c r="E39" s="35" t="s">
        <v>253</v>
      </c>
      <c r="F39" s="35" t="s">
        <v>254</v>
      </c>
      <c r="G39" s="35">
        <v>1</v>
      </c>
      <c r="H39" s="35" t="s">
        <v>255</v>
      </c>
      <c r="I39" s="35" t="s">
        <v>257</v>
      </c>
      <c r="J39" s="35" t="s">
        <v>258</v>
      </c>
    </row>
    <row r="40" spans="2:10" ht="39.75" customHeight="1" x14ac:dyDescent="0.35">
      <c r="B40" s="34" t="s">
        <v>520</v>
      </c>
      <c r="C40" s="35" t="s">
        <v>562</v>
      </c>
      <c r="D40" s="35" t="s">
        <v>245</v>
      </c>
      <c r="E40" s="35" t="s">
        <v>295</v>
      </c>
      <c r="F40" s="35" t="s">
        <v>297</v>
      </c>
      <c r="G40" s="35">
        <v>2</v>
      </c>
      <c r="H40" s="35" t="s">
        <v>223</v>
      </c>
      <c r="I40" s="35" t="s">
        <v>299</v>
      </c>
      <c r="J40" s="35" t="s">
        <v>300</v>
      </c>
    </row>
    <row r="41" spans="2:10" ht="39.75" customHeight="1" x14ac:dyDescent="0.35">
      <c r="B41" s="34" t="s">
        <v>520</v>
      </c>
      <c r="C41" s="35" t="s">
        <v>562</v>
      </c>
      <c r="D41" s="35" t="s">
        <v>369</v>
      </c>
      <c r="E41" s="35" t="s">
        <v>418</v>
      </c>
      <c r="F41" s="35" t="s">
        <v>419</v>
      </c>
      <c r="G41" s="35" t="s">
        <v>53</v>
      </c>
      <c r="H41" s="35" t="s">
        <v>420</v>
      </c>
      <c r="I41" s="35" t="s">
        <v>422</v>
      </c>
      <c r="J41" s="35" t="s">
        <v>207</v>
      </c>
    </row>
    <row r="42" spans="2:10" ht="39.75" customHeight="1" x14ac:dyDescent="0.35">
      <c r="B42" s="34" t="s">
        <v>520</v>
      </c>
      <c r="C42" s="35" t="s">
        <v>562</v>
      </c>
      <c r="D42" s="35" t="s">
        <v>369</v>
      </c>
      <c r="E42" s="35" t="s">
        <v>474</v>
      </c>
      <c r="F42" s="35" t="s">
        <v>476</v>
      </c>
      <c r="G42" s="35" t="s">
        <v>55</v>
      </c>
      <c r="H42" s="35" t="s">
        <v>286</v>
      </c>
      <c r="I42" s="35" t="s">
        <v>479</v>
      </c>
      <c r="J42" s="35" t="s">
        <v>207</v>
      </c>
    </row>
    <row r="43" spans="2:10" ht="39.75" customHeight="1" x14ac:dyDescent="0.35">
      <c r="B43" s="34" t="s">
        <v>520</v>
      </c>
      <c r="C43" s="35" t="s">
        <v>562</v>
      </c>
      <c r="D43" s="35" t="s">
        <v>369</v>
      </c>
      <c r="E43" s="35" t="s">
        <v>484</v>
      </c>
      <c r="F43" s="35" t="s">
        <v>485</v>
      </c>
      <c r="G43" s="35" t="s">
        <v>55</v>
      </c>
      <c r="H43" s="35" t="s">
        <v>161</v>
      </c>
      <c r="I43" s="35" t="s">
        <v>487</v>
      </c>
      <c r="J43" s="35" t="s">
        <v>488</v>
      </c>
    </row>
    <row r="44" spans="2:10" ht="39.75" customHeight="1" x14ac:dyDescent="0.35">
      <c r="B44" s="34" t="s">
        <v>520</v>
      </c>
      <c r="C44" s="35" t="s">
        <v>562</v>
      </c>
      <c r="D44" s="35" t="s">
        <v>369</v>
      </c>
      <c r="E44" s="35" t="s">
        <v>489</v>
      </c>
      <c r="F44" s="35" t="s">
        <v>490</v>
      </c>
      <c r="G44" s="35" t="s">
        <v>55</v>
      </c>
      <c r="H44" s="35" t="s">
        <v>491</v>
      </c>
      <c r="I44" s="35" t="s">
        <v>493</v>
      </c>
      <c r="J44" s="35" t="s">
        <v>207</v>
      </c>
    </row>
    <row r="45" spans="2:10" ht="39.75" customHeight="1" x14ac:dyDescent="0.35">
      <c r="B45" s="34" t="s">
        <v>520</v>
      </c>
      <c r="C45" s="35" t="s">
        <v>562</v>
      </c>
      <c r="D45" s="35" t="s">
        <v>369</v>
      </c>
      <c r="E45" s="35" t="s">
        <v>508</v>
      </c>
      <c r="F45" s="35" t="s">
        <v>509</v>
      </c>
      <c r="G45" s="35" t="s">
        <v>55</v>
      </c>
      <c r="H45" s="35" t="s">
        <v>307</v>
      </c>
      <c r="I45" s="35" t="s">
        <v>511</v>
      </c>
      <c r="J45" s="35" t="s">
        <v>119</v>
      </c>
    </row>
    <row r="46" spans="2:10" ht="39.75" customHeight="1" x14ac:dyDescent="0.35">
      <c r="B46" s="36" t="s">
        <v>521</v>
      </c>
      <c r="C46" s="35" t="s">
        <v>563</v>
      </c>
      <c r="D46" s="35" t="s">
        <v>245</v>
      </c>
      <c r="E46" s="35" t="s">
        <v>263</v>
      </c>
      <c r="F46" s="35" t="s">
        <v>264</v>
      </c>
      <c r="G46" s="35">
        <v>2</v>
      </c>
      <c r="H46" s="35" t="s">
        <v>265</v>
      </c>
      <c r="I46" s="35" t="s">
        <v>267</v>
      </c>
      <c r="J46" s="35" t="s">
        <v>268</v>
      </c>
    </row>
    <row r="47" spans="2:10" ht="39.75" customHeight="1" x14ac:dyDescent="0.35">
      <c r="B47" s="36" t="s">
        <v>521</v>
      </c>
      <c r="C47" s="35" t="s">
        <v>563</v>
      </c>
      <c r="D47" s="35" t="s">
        <v>245</v>
      </c>
      <c r="E47" s="35" t="s">
        <v>330</v>
      </c>
      <c r="F47" s="35" t="s">
        <v>331</v>
      </c>
      <c r="G47" s="35">
        <v>1</v>
      </c>
      <c r="H47" s="35" t="s">
        <v>332</v>
      </c>
      <c r="I47" s="35" t="s">
        <v>334</v>
      </c>
      <c r="J47" s="35" t="s">
        <v>207</v>
      </c>
    </row>
    <row r="48" spans="2:10" ht="39.75" customHeight="1" x14ac:dyDescent="0.35">
      <c r="B48" s="36" t="s">
        <v>521</v>
      </c>
      <c r="C48" s="35" t="s">
        <v>563</v>
      </c>
      <c r="D48" s="35" t="s">
        <v>47</v>
      </c>
      <c r="E48" s="35" t="s">
        <v>85</v>
      </c>
      <c r="F48" s="35" t="s">
        <v>87</v>
      </c>
      <c r="G48" s="35" t="s">
        <v>55</v>
      </c>
      <c r="H48" s="35" t="s">
        <v>89</v>
      </c>
      <c r="I48" s="35" t="s">
        <v>92</v>
      </c>
      <c r="J48" s="35" t="s">
        <v>93</v>
      </c>
    </row>
    <row r="49" spans="2:10" ht="39.75" customHeight="1" x14ac:dyDescent="0.35">
      <c r="B49" s="36" t="s">
        <v>521</v>
      </c>
      <c r="C49" s="35" t="s">
        <v>563</v>
      </c>
      <c r="D49" s="35" t="s">
        <v>47</v>
      </c>
      <c r="E49" s="35" t="s">
        <v>94</v>
      </c>
      <c r="F49" s="35" t="s">
        <v>95</v>
      </c>
      <c r="G49" s="35" t="s">
        <v>55</v>
      </c>
      <c r="H49" s="35" t="s">
        <v>89</v>
      </c>
      <c r="I49" s="35" t="s">
        <v>98</v>
      </c>
      <c r="J49" s="35" t="s">
        <v>99</v>
      </c>
    </row>
    <row r="50" spans="2:10" ht="39.75" customHeight="1" x14ac:dyDescent="0.35">
      <c r="B50" s="36" t="s">
        <v>521</v>
      </c>
      <c r="C50" s="35" t="s">
        <v>563</v>
      </c>
      <c r="D50" s="35" t="s">
        <v>47</v>
      </c>
      <c r="E50" s="35" t="s">
        <v>172</v>
      </c>
      <c r="F50" s="35" t="s">
        <v>173</v>
      </c>
      <c r="G50" s="35" t="s">
        <v>55</v>
      </c>
      <c r="H50" s="35" t="s">
        <v>174</v>
      </c>
      <c r="I50" s="35" t="s">
        <v>176</v>
      </c>
      <c r="J50" s="35" t="s">
        <v>84</v>
      </c>
    </row>
    <row r="51" spans="2:10" ht="39.75" customHeight="1" x14ac:dyDescent="0.35">
      <c r="B51" s="36" t="s">
        <v>521</v>
      </c>
      <c r="C51" s="35" t="s">
        <v>563</v>
      </c>
      <c r="D51" s="35" t="s">
        <v>47</v>
      </c>
      <c r="E51" s="35" t="s">
        <v>177</v>
      </c>
      <c r="F51" s="35" t="s">
        <v>179</v>
      </c>
      <c r="G51" s="35" t="s">
        <v>55</v>
      </c>
      <c r="H51" s="35" t="s">
        <v>181</v>
      </c>
      <c r="I51" s="35" t="s">
        <v>183</v>
      </c>
      <c r="J51" s="35" t="s">
        <v>119</v>
      </c>
    </row>
    <row r="52" spans="2:10" ht="39.75" customHeight="1" x14ac:dyDescent="0.35">
      <c r="B52" s="36" t="s">
        <v>521</v>
      </c>
      <c r="C52" s="35" t="s">
        <v>563</v>
      </c>
      <c r="D52" s="35" t="s">
        <v>47</v>
      </c>
      <c r="E52" s="35" t="s">
        <v>184</v>
      </c>
      <c r="F52" s="35" t="s">
        <v>185</v>
      </c>
      <c r="G52" s="35" t="s">
        <v>55</v>
      </c>
      <c r="H52" s="35" t="s">
        <v>187</v>
      </c>
      <c r="I52" s="35" t="s">
        <v>189</v>
      </c>
      <c r="J52" s="35" t="s">
        <v>119</v>
      </c>
    </row>
    <row r="53" spans="2:10" ht="39.75" customHeight="1" x14ac:dyDescent="0.35">
      <c r="B53" s="36" t="s">
        <v>521</v>
      </c>
      <c r="C53" s="35" t="s">
        <v>563</v>
      </c>
      <c r="D53" s="35" t="s">
        <v>47</v>
      </c>
      <c r="E53" s="35" t="s">
        <v>240</v>
      </c>
      <c r="F53" s="35" t="s">
        <v>241</v>
      </c>
      <c r="G53" s="35" t="s">
        <v>53</v>
      </c>
      <c r="H53" s="35" t="s">
        <v>242</v>
      </c>
      <c r="I53" s="35" t="s">
        <v>244</v>
      </c>
      <c r="J53" s="35" t="s">
        <v>207</v>
      </c>
    </row>
    <row r="54" spans="2:10" ht="39.75" customHeight="1" x14ac:dyDescent="0.35">
      <c r="B54" s="36" t="s">
        <v>521</v>
      </c>
      <c r="C54" s="35" t="s">
        <v>563</v>
      </c>
      <c r="D54" s="35" t="s">
        <v>245</v>
      </c>
      <c r="E54" s="35" t="s">
        <v>305</v>
      </c>
      <c r="F54" s="35" t="s">
        <v>306</v>
      </c>
      <c r="G54" s="35">
        <v>1</v>
      </c>
      <c r="H54" s="35" t="s">
        <v>307</v>
      </c>
      <c r="I54" s="35" t="s">
        <v>310</v>
      </c>
      <c r="J54" s="35" t="s">
        <v>119</v>
      </c>
    </row>
    <row r="55" spans="2:10" ht="39.75" customHeight="1" x14ac:dyDescent="0.35">
      <c r="B55" s="36" t="s">
        <v>521</v>
      </c>
      <c r="C55" s="35" t="s">
        <v>563</v>
      </c>
      <c r="D55" s="35" t="s">
        <v>369</v>
      </c>
      <c r="E55" s="35" t="s">
        <v>370</v>
      </c>
      <c r="F55" s="35" t="s">
        <v>372</v>
      </c>
      <c r="G55" s="35" t="s">
        <v>53</v>
      </c>
      <c r="H55" s="35" t="s">
        <v>374</v>
      </c>
      <c r="I55" s="35" t="s">
        <v>376</v>
      </c>
      <c r="J55" s="35" t="s">
        <v>377</v>
      </c>
    </row>
    <row r="56" spans="2:10" ht="39.75" customHeight="1" x14ac:dyDescent="0.35">
      <c r="B56" s="36" t="s">
        <v>521</v>
      </c>
      <c r="C56" s="35" t="s">
        <v>563</v>
      </c>
      <c r="D56" s="35" t="s">
        <v>369</v>
      </c>
      <c r="E56" s="35" t="s">
        <v>403</v>
      </c>
      <c r="F56" s="35" t="s">
        <v>404</v>
      </c>
      <c r="G56" s="35" t="s">
        <v>53</v>
      </c>
      <c r="H56" s="35" t="s">
        <v>64</v>
      </c>
      <c r="I56" s="35" t="s">
        <v>406</v>
      </c>
      <c r="J56" s="35" t="s">
        <v>207</v>
      </c>
    </row>
    <row r="57" spans="2:10" ht="39.75" customHeight="1" x14ac:dyDescent="0.35">
      <c r="B57" s="36" t="s">
        <v>521</v>
      </c>
      <c r="C57" s="35" t="s">
        <v>563</v>
      </c>
      <c r="D57" s="35" t="s">
        <v>369</v>
      </c>
      <c r="E57" s="35" t="s">
        <v>407</v>
      </c>
      <c r="F57" s="35" t="s">
        <v>408</v>
      </c>
      <c r="G57" s="35" t="s">
        <v>55</v>
      </c>
      <c r="H57" s="35" t="s">
        <v>409</v>
      </c>
      <c r="I57" s="35" t="s">
        <v>411</v>
      </c>
      <c r="J57" s="35" t="s">
        <v>207</v>
      </c>
    </row>
    <row r="58" spans="2:10" ht="39.75" customHeight="1" x14ac:dyDescent="0.35">
      <c r="B58" s="36" t="s">
        <v>521</v>
      </c>
      <c r="C58" s="35" t="s">
        <v>563</v>
      </c>
      <c r="D58" s="35" t="s">
        <v>369</v>
      </c>
      <c r="E58" s="35" t="s">
        <v>412</v>
      </c>
      <c r="F58" s="35" t="s">
        <v>414</v>
      </c>
      <c r="G58" s="35" t="s">
        <v>53</v>
      </c>
      <c r="H58" s="35" t="s">
        <v>415</v>
      </c>
      <c r="I58" s="35" t="s">
        <v>417</v>
      </c>
      <c r="J58" s="35" t="s">
        <v>207</v>
      </c>
    </row>
    <row r="59" spans="2:10" ht="39.75" customHeight="1" x14ac:dyDescent="0.35">
      <c r="B59" s="36" t="s">
        <v>521</v>
      </c>
      <c r="C59" s="35" t="s">
        <v>563</v>
      </c>
      <c r="D59" s="35" t="s">
        <v>369</v>
      </c>
      <c r="E59" s="35" t="s">
        <v>433</v>
      </c>
      <c r="F59" s="35" t="s">
        <v>434</v>
      </c>
      <c r="G59" s="35" t="s">
        <v>53</v>
      </c>
      <c r="H59" s="35" t="s">
        <v>435</v>
      </c>
      <c r="I59" s="35" t="s">
        <v>437</v>
      </c>
      <c r="J59" s="35" t="s">
        <v>438</v>
      </c>
    </row>
    <row r="60" spans="2:10" ht="39.75" customHeight="1" x14ac:dyDescent="0.35">
      <c r="B60" s="36" t="s">
        <v>521</v>
      </c>
      <c r="C60" s="35" t="s">
        <v>563</v>
      </c>
      <c r="D60" s="35" t="s">
        <v>369</v>
      </c>
      <c r="E60" s="35" t="s">
        <v>439</v>
      </c>
      <c r="F60" s="35" t="s">
        <v>440</v>
      </c>
      <c r="G60" s="35" t="s">
        <v>53</v>
      </c>
      <c r="H60" s="35" t="s">
        <v>441</v>
      </c>
      <c r="I60" s="35" t="s">
        <v>443</v>
      </c>
      <c r="J60" s="35" t="s">
        <v>207</v>
      </c>
    </row>
    <row r="61" spans="2:10" ht="39.75" customHeight="1" x14ac:dyDescent="0.35">
      <c r="B61" s="36" t="s">
        <v>521</v>
      </c>
      <c r="C61" s="35" t="s">
        <v>563</v>
      </c>
      <c r="D61" s="35" t="s">
        <v>369</v>
      </c>
      <c r="E61" s="35" t="s">
        <v>459</v>
      </c>
      <c r="F61" s="35" t="s">
        <v>460</v>
      </c>
      <c r="G61" s="35" t="s">
        <v>55</v>
      </c>
      <c r="H61" s="35" t="s">
        <v>461</v>
      </c>
      <c r="I61" s="35" t="s">
        <v>463</v>
      </c>
      <c r="J61" s="35" t="s">
        <v>207</v>
      </c>
    </row>
    <row r="62" spans="2:10" ht="39.75" customHeight="1" x14ac:dyDescent="0.35">
      <c r="B62" s="36" t="s">
        <v>521</v>
      </c>
      <c r="C62" s="35" t="s">
        <v>563</v>
      </c>
      <c r="D62" s="35" t="s">
        <v>369</v>
      </c>
      <c r="E62" s="35" t="s">
        <v>480</v>
      </c>
      <c r="F62" s="35" t="s">
        <v>481</v>
      </c>
      <c r="G62" s="35" t="s">
        <v>55</v>
      </c>
      <c r="H62" s="35" t="s">
        <v>359</v>
      </c>
      <c r="I62" s="35" t="s">
        <v>483</v>
      </c>
      <c r="J62" s="35" t="s">
        <v>207</v>
      </c>
    </row>
    <row r="63" spans="2:10" ht="39.75" customHeight="1" x14ac:dyDescent="0.35">
      <c r="B63" s="36" t="s">
        <v>521</v>
      </c>
      <c r="C63" s="35" t="s">
        <v>563</v>
      </c>
      <c r="D63" s="35" t="s">
        <v>369</v>
      </c>
      <c r="E63" s="35" t="s">
        <v>494</v>
      </c>
      <c r="F63" s="35" t="s">
        <v>496</v>
      </c>
      <c r="G63" s="35" t="s">
        <v>55</v>
      </c>
      <c r="H63" s="35" t="s">
        <v>498</v>
      </c>
      <c r="I63" s="35" t="s">
        <v>500</v>
      </c>
      <c r="J63" s="35" t="s">
        <v>501</v>
      </c>
    </row>
    <row r="64" spans="2:10" ht="39.75" customHeight="1" x14ac:dyDescent="0.35">
      <c r="B64" s="36" t="s">
        <v>521</v>
      </c>
      <c r="C64" s="35" t="s">
        <v>563</v>
      </c>
      <c r="D64" s="35" t="s">
        <v>245</v>
      </c>
      <c r="E64" s="35" t="s">
        <v>335</v>
      </c>
      <c r="F64" s="35" t="s">
        <v>336</v>
      </c>
      <c r="G64" s="35">
        <v>3</v>
      </c>
      <c r="H64" s="35" t="s">
        <v>204</v>
      </c>
      <c r="I64" s="35" t="s">
        <v>338</v>
      </c>
      <c r="J64" s="35" t="s">
        <v>207</v>
      </c>
    </row>
    <row r="65" spans="2:10" ht="39.75" customHeight="1" x14ac:dyDescent="0.35">
      <c r="B65" s="36" t="s">
        <v>521</v>
      </c>
      <c r="C65" s="35" t="s">
        <v>563</v>
      </c>
      <c r="D65" s="35" t="s">
        <v>245</v>
      </c>
      <c r="E65" s="35" t="s">
        <v>344</v>
      </c>
      <c r="F65" s="35" t="s">
        <v>345</v>
      </c>
      <c r="G65" s="35">
        <v>3</v>
      </c>
      <c r="H65" s="35" t="s">
        <v>174</v>
      </c>
      <c r="I65" s="35" t="s">
        <v>347</v>
      </c>
      <c r="J65" s="35" t="s">
        <v>84</v>
      </c>
    </row>
    <row r="66" spans="2:10" ht="39.75" customHeight="1" x14ac:dyDescent="0.35">
      <c r="B66" s="36" t="s">
        <v>521</v>
      </c>
      <c r="C66" s="35" t="s">
        <v>563</v>
      </c>
      <c r="D66" s="35" t="s">
        <v>245</v>
      </c>
      <c r="E66" s="35" t="s">
        <v>348</v>
      </c>
      <c r="F66" s="35" t="s">
        <v>349</v>
      </c>
      <c r="G66" s="35">
        <v>3</v>
      </c>
      <c r="H66" s="35" t="s">
        <v>350</v>
      </c>
      <c r="I66" s="35" t="s">
        <v>352</v>
      </c>
      <c r="J66" s="35" t="s">
        <v>149</v>
      </c>
    </row>
    <row r="67" spans="2:10" ht="39.75" customHeight="1" x14ac:dyDescent="0.35">
      <c r="B67" s="36" t="s">
        <v>521</v>
      </c>
      <c r="C67" s="35" t="s">
        <v>563</v>
      </c>
      <c r="D67" s="35" t="s">
        <v>47</v>
      </c>
      <c r="E67" s="35" t="s">
        <v>142</v>
      </c>
      <c r="F67" s="35" t="s">
        <v>143</v>
      </c>
      <c r="G67" s="35" t="s">
        <v>53</v>
      </c>
      <c r="H67" s="35" t="s">
        <v>145</v>
      </c>
      <c r="I67" s="35" t="s">
        <v>148</v>
      </c>
      <c r="J67" s="35" t="s">
        <v>149</v>
      </c>
    </row>
    <row r="68" spans="2:10" ht="39.75" customHeight="1" x14ac:dyDescent="0.35">
      <c r="B68" s="36" t="s">
        <v>521</v>
      </c>
      <c r="C68" s="35" t="s">
        <v>563</v>
      </c>
      <c r="D68" s="35" t="s">
        <v>245</v>
      </c>
      <c r="E68" s="35" t="s">
        <v>311</v>
      </c>
      <c r="F68" s="35" t="s">
        <v>312</v>
      </c>
      <c r="G68" s="35">
        <v>2</v>
      </c>
      <c r="H68" s="35" t="s">
        <v>313</v>
      </c>
      <c r="I68" s="35" t="s">
        <v>315</v>
      </c>
      <c r="J68" s="35" t="s">
        <v>171</v>
      </c>
    </row>
    <row r="69" spans="2:10" ht="39.75" customHeight="1" x14ac:dyDescent="0.35">
      <c r="B69" s="36" t="s">
        <v>521</v>
      </c>
      <c r="C69" s="35" t="s">
        <v>563</v>
      </c>
      <c r="D69" s="35" t="s">
        <v>245</v>
      </c>
      <c r="E69" s="35" t="s">
        <v>339</v>
      </c>
      <c r="F69" s="35" t="s">
        <v>341</v>
      </c>
      <c r="G69" s="35">
        <v>3</v>
      </c>
      <c r="H69" s="35" t="s">
        <v>161</v>
      </c>
      <c r="I69" s="35" t="s">
        <v>343</v>
      </c>
      <c r="J69" s="35" t="s">
        <v>164</v>
      </c>
    </row>
    <row r="70" spans="2:10" ht="39.75" customHeight="1" x14ac:dyDescent="0.35">
      <c r="B70" s="36" t="s">
        <v>521</v>
      </c>
      <c r="C70" s="35" t="s">
        <v>563</v>
      </c>
      <c r="D70" s="35" t="s">
        <v>369</v>
      </c>
      <c r="E70" s="35" t="s">
        <v>393</v>
      </c>
      <c r="F70" s="35" t="s">
        <v>395</v>
      </c>
      <c r="G70" s="35" t="s">
        <v>53</v>
      </c>
      <c r="H70" s="35" t="s">
        <v>52</v>
      </c>
      <c r="I70" s="35" t="s">
        <v>397</v>
      </c>
      <c r="J70" s="35" t="s">
        <v>207</v>
      </c>
    </row>
    <row r="71" spans="2:10" ht="39.75" customHeight="1" x14ac:dyDescent="0.35">
      <c r="B71" s="36" t="s">
        <v>521</v>
      </c>
      <c r="C71" s="35" t="s">
        <v>563</v>
      </c>
      <c r="D71" s="35" t="s">
        <v>369</v>
      </c>
      <c r="E71" s="35" t="s">
        <v>428</v>
      </c>
      <c r="F71" s="35" t="s">
        <v>429</v>
      </c>
      <c r="G71" s="35" t="s">
        <v>53</v>
      </c>
      <c r="H71" s="35" t="s">
        <v>430</v>
      </c>
      <c r="I71" s="35" t="s">
        <v>432</v>
      </c>
      <c r="J71" s="35" t="s">
        <v>207</v>
      </c>
    </row>
    <row r="72" spans="2:10" ht="39.75" customHeight="1" x14ac:dyDescent="0.35">
      <c r="B72" s="36" t="s">
        <v>521</v>
      </c>
      <c r="C72" s="35" t="s">
        <v>563</v>
      </c>
      <c r="D72" s="35" t="s">
        <v>369</v>
      </c>
      <c r="E72" s="35" t="s">
        <v>449</v>
      </c>
      <c r="F72" s="35" t="s">
        <v>450</v>
      </c>
      <c r="G72" s="35" t="s">
        <v>53</v>
      </c>
      <c r="H72" s="35" t="s">
        <v>451</v>
      </c>
      <c r="I72" s="35" t="s">
        <v>453</v>
      </c>
      <c r="J72" s="35" t="s">
        <v>207</v>
      </c>
    </row>
  </sheetData>
  <sheetProtection sheet="1" objects="1" scenarios="1"/>
  <autoFilter ref="B4:J72" xr:uid="{00000000-0009-0000-0000-000006000000}"/>
  <mergeCells count="1">
    <mergeCell ref="B2:I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  <pageSetUpPr fitToPage="1"/>
  </sheetPr>
  <dimension ref="B2:J81"/>
  <sheetViews>
    <sheetView showGridLines="0" zoomScaleNormal="100" workbookViewId="0">
      <selection activeCell="A3" sqref="A3:XFD3"/>
    </sheetView>
  </sheetViews>
  <sheetFormatPr baseColWidth="10" defaultColWidth="8.6328125" defaultRowHeight="14.5" x14ac:dyDescent="0.35"/>
  <cols>
    <col min="1" max="1" width="8.6328125" style="33"/>
    <col min="2" max="3" width="11" style="33" customWidth="1"/>
    <col min="4" max="4" width="16" style="33" customWidth="1"/>
    <col min="5" max="5" width="7" style="33" customWidth="1"/>
    <col min="6" max="6" width="40" style="33" customWidth="1"/>
    <col min="7" max="7" width="13" style="33" customWidth="1"/>
    <col min="8" max="8" width="38" style="33" customWidth="1"/>
    <col min="9" max="9" width="44" style="33" customWidth="1"/>
    <col min="10" max="10" width="22" style="33" customWidth="1"/>
    <col min="11" max="16384" width="8.6328125" style="33"/>
  </cols>
  <sheetData>
    <row r="2" spans="2:10" ht="27.75" customHeight="1" x14ac:dyDescent="0.35">
      <c r="B2" s="39" t="s">
        <v>566</v>
      </c>
      <c r="C2" s="39"/>
      <c r="D2" s="39"/>
      <c r="E2" s="39"/>
      <c r="F2" s="39"/>
      <c r="G2" s="39"/>
      <c r="H2" s="39"/>
      <c r="I2" s="39"/>
    </row>
    <row r="4" spans="2:10" ht="25.5" customHeight="1" x14ac:dyDescent="0.35">
      <c r="B4" s="40" t="s">
        <v>40</v>
      </c>
      <c r="C4" s="40" t="s">
        <v>559</v>
      </c>
      <c r="D4" s="40" t="s">
        <v>24</v>
      </c>
      <c r="E4" s="40" t="s">
        <v>25</v>
      </c>
      <c r="F4" s="40" t="s">
        <v>27</v>
      </c>
      <c r="G4" s="40" t="s">
        <v>560</v>
      </c>
      <c r="H4" s="40" t="s">
        <v>561</v>
      </c>
      <c r="I4" s="40" t="s">
        <v>44</v>
      </c>
      <c r="J4" s="40" t="s">
        <v>45</v>
      </c>
    </row>
    <row r="5" spans="2:10" ht="39.75" customHeight="1" x14ac:dyDescent="0.35">
      <c r="B5" s="34" t="s">
        <v>520</v>
      </c>
      <c r="C5" s="35" t="s">
        <v>562</v>
      </c>
      <c r="D5" s="35" t="s">
        <v>47</v>
      </c>
      <c r="E5" s="35" t="s">
        <v>114</v>
      </c>
      <c r="F5" s="35" t="s">
        <v>115</v>
      </c>
      <c r="G5" s="35" t="s">
        <v>55</v>
      </c>
      <c r="H5" s="35" t="s">
        <v>89</v>
      </c>
      <c r="I5" s="35" t="s">
        <v>118</v>
      </c>
      <c r="J5" s="35" t="s">
        <v>119</v>
      </c>
    </row>
    <row r="6" spans="2:10" ht="39.75" customHeight="1" x14ac:dyDescent="0.35">
      <c r="B6" s="34" t="s">
        <v>520</v>
      </c>
      <c r="C6" s="35" t="s">
        <v>562</v>
      </c>
      <c r="D6" s="35" t="s">
        <v>47</v>
      </c>
      <c r="E6" s="35" t="s">
        <v>158</v>
      </c>
      <c r="F6" s="35" t="s">
        <v>159</v>
      </c>
      <c r="G6" s="35" t="s">
        <v>55</v>
      </c>
      <c r="H6" s="35" t="s">
        <v>161</v>
      </c>
      <c r="I6" s="35" t="s">
        <v>163</v>
      </c>
      <c r="J6" s="35" t="s">
        <v>164</v>
      </c>
    </row>
    <row r="7" spans="2:10" ht="39.75" customHeight="1" x14ac:dyDescent="0.35">
      <c r="B7" s="34" t="s">
        <v>520</v>
      </c>
      <c r="C7" s="35" t="s">
        <v>562</v>
      </c>
      <c r="D7" s="35" t="s">
        <v>47</v>
      </c>
      <c r="E7" s="35" t="s">
        <v>190</v>
      </c>
      <c r="F7" s="35" t="s">
        <v>191</v>
      </c>
      <c r="G7" s="35" t="s">
        <v>55</v>
      </c>
      <c r="H7" s="35" t="s">
        <v>193</v>
      </c>
      <c r="I7" s="35" t="s">
        <v>195</v>
      </c>
      <c r="J7" s="35" t="s">
        <v>149</v>
      </c>
    </row>
    <row r="8" spans="2:10" ht="39.75" customHeight="1" x14ac:dyDescent="0.35">
      <c r="B8" s="34" t="s">
        <v>520</v>
      </c>
      <c r="C8" s="35" t="s">
        <v>562</v>
      </c>
      <c r="D8" s="35" t="s">
        <v>47</v>
      </c>
      <c r="E8" s="35" t="s">
        <v>202</v>
      </c>
      <c r="F8" s="35" t="s">
        <v>203</v>
      </c>
      <c r="G8" s="35" t="s">
        <v>55</v>
      </c>
      <c r="H8" s="35" t="s">
        <v>204</v>
      </c>
      <c r="I8" s="35" t="s">
        <v>206</v>
      </c>
      <c r="J8" s="35" t="s">
        <v>207</v>
      </c>
    </row>
    <row r="9" spans="2:10" ht="39.75" customHeight="1" x14ac:dyDescent="0.35">
      <c r="B9" s="34" t="s">
        <v>520</v>
      </c>
      <c r="C9" s="35" t="s">
        <v>562</v>
      </c>
      <c r="D9" s="35" t="s">
        <v>47</v>
      </c>
      <c r="E9" s="35" t="s">
        <v>227</v>
      </c>
      <c r="F9" s="35" t="s">
        <v>228</v>
      </c>
      <c r="G9" s="35" t="s">
        <v>55</v>
      </c>
      <c r="H9" s="35" t="s">
        <v>229</v>
      </c>
      <c r="I9" s="35" t="s">
        <v>231</v>
      </c>
      <c r="J9" s="35" t="s">
        <v>232</v>
      </c>
    </row>
    <row r="10" spans="2:10" ht="39.75" customHeight="1" x14ac:dyDescent="0.35">
      <c r="B10" s="34" t="s">
        <v>520</v>
      </c>
      <c r="C10" s="35" t="s">
        <v>562</v>
      </c>
      <c r="D10" s="35" t="s">
        <v>245</v>
      </c>
      <c r="E10" s="35" t="s">
        <v>246</v>
      </c>
      <c r="F10" s="35" t="s">
        <v>248</v>
      </c>
      <c r="G10" s="35">
        <v>1</v>
      </c>
      <c r="H10" s="35" t="s">
        <v>154</v>
      </c>
      <c r="I10" s="35" t="s">
        <v>250</v>
      </c>
      <c r="J10" s="35" t="s">
        <v>251</v>
      </c>
    </row>
    <row r="11" spans="2:10" ht="39.75" customHeight="1" x14ac:dyDescent="0.35">
      <c r="B11" s="34" t="s">
        <v>520</v>
      </c>
      <c r="C11" s="35" t="s">
        <v>562</v>
      </c>
      <c r="D11" s="35" t="s">
        <v>245</v>
      </c>
      <c r="E11" s="35" t="s">
        <v>276</v>
      </c>
      <c r="F11" s="35" t="s">
        <v>277</v>
      </c>
      <c r="G11" s="35">
        <v>1</v>
      </c>
      <c r="H11" s="35" t="s">
        <v>52</v>
      </c>
      <c r="I11" s="35" t="s">
        <v>279</v>
      </c>
      <c r="J11" s="35" t="s">
        <v>149</v>
      </c>
    </row>
    <row r="12" spans="2:10" ht="39.75" customHeight="1" x14ac:dyDescent="0.35">
      <c r="B12" s="34" t="s">
        <v>520</v>
      </c>
      <c r="C12" s="35" t="s">
        <v>562</v>
      </c>
      <c r="D12" s="35" t="s">
        <v>245</v>
      </c>
      <c r="E12" s="35" t="s">
        <v>280</v>
      </c>
      <c r="F12" s="35" t="s">
        <v>281</v>
      </c>
      <c r="G12" s="35">
        <v>1</v>
      </c>
      <c r="H12" s="35" t="s">
        <v>89</v>
      </c>
      <c r="I12" s="35" t="s">
        <v>283</v>
      </c>
      <c r="J12" s="35" t="s">
        <v>149</v>
      </c>
    </row>
    <row r="13" spans="2:10" ht="39.75" customHeight="1" x14ac:dyDescent="0.35">
      <c r="B13" s="34" t="s">
        <v>520</v>
      </c>
      <c r="C13" s="35" t="s">
        <v>562</v>
      </c>
      <c r="D13" s="35" t="s">
        <v>245</v>
      </c>
      <c r="E13" s="35" t="s">
        <v>289</v>
      </c>
      <c r="F13" s="35" t="s">
        <v>290</v>
      </c>
      <c r="G13" s="35">
        <v>1</v>
      </c>
      <c r="H13" s="35" t="s">
        <v>292</v>
      </c>
      <c r="I13" s="35" t="s">
        <v>294</v>
      </c>
      <c r="J13" s="35" t="s">
        <v>149</v>
      </c>
    </row>
    <row r="14" spans="2:10" ht="39.75" customHeight="1" x14ac:dyDescent="0.35">
      <c r="B14" s="34" t="s">
        <v>520</v>
      </c>
      <c r="C14" s="35" t="s">
        <v>562</v>
      </c>
      <c r="D14" s="35" t="s">
        <v>245</v>
      </c>
      <c r="E14" s="35" t="s">
        <v>316</v>
      </c>
      <c r="F14" s="35" t="s">
        <v>318</v>
      </c>
      <c r="G14" s="35">
        <v>1</v>
      </c>
      <c r="H14" s="35" t="s">
        <v>187</v>
      </c>
      <c r="I14" s="35" t="s">
        <v>320</v>
      </c>
      <c r="J14" s="35" t="s">
        <v>119</v>
      </c>
    </row>
    <row r="15" spans="2:10" ht="39.75" customHeight="1" x14ac:dyDescent="0.35">
      <c r="B15" s="34" t="s">
        <v>520</v>
      </c>
      <c r="C15" s="35" t="s">
        <v>562</v>
      </c>
      <c r="D15" s="35" t="s">
        <v>245</v>
      </c>
      <c r="E15" s="35" t="s">
        <v>48</v>
      </c>
      <c r="F15" s="35" t="s">
        <v>354</v>
      </c>
      <c r="G15" s="35">
        <v>1</v>
      </c>
      <c r="H15" s="35" t="s">
        <v>229</v>
      </c>
      <c r="I15" s="35" t="s">
        <v>356</v>
      </c>
      <c r="J15" s="35" t="s">
        <v>357</v>
      </c>
    </row>
    <row r="16" spans="2:10" ht="39.75" customHeight="1" x14ac:dyDescent="0.35">
      <c r="B16" s="34" t="s">
        <v>520</v>
      </c>
      <c r="C16" s="35" t="s">
        <v>562</v>
      </c>
      <c r="D16" s="35" t="s">
        <v>245</v>
      </c>
      <c r="E16" s="35" t="s">
        <v>69</v>
      </c>
      <c r="F16" s="35" t="s">
        <v>362</v>
      </c>
      <c r="G16" s="35">
        <v>1</v>
      </c>
      <c r="H16" s="35" t="s">
        <v>292</v>
      </c>
      <c r="I16" s="35" t="s">
        <v>364</v>
      </c>
      <c r="J16" s="35" t="s">
        <v>365</v>
      </c>
    </row>
    <row r="17" spans="2:10" ht="39.75" customHeight="1" x14ac:dyDescent="0.35">
      <c r="B17" s="34" t="s">
        <v>520</v>
      </c>
      <c r="C17" s="35" t="s">
        <v>562</v>
      </c>
      <c r="D17" s="35" t="s">
        <v>245</v>
      </c>
      <c r="E17" s="35" t="s">
        <v>301</v>
      </c>
      <c r="F17" s="35" t="s">
        <v>302</v>
      </c>
      <c r="G17" s="35">
        <v>2</v>
      </c>
      <c r="H17" s="35" t="s">
        <v>223</v>
      </c>
      <c r="I17" s="35" t="s">
        <v>304</v>
      </c>
      <c r="J17" s="35" t="s">
        <v>226</v>
      </c>
    </row>
    <row r="18" spans="2:10" ht="39.75" customHeight="1" x14ac:dyDescent="0.35">
      <c r="B18" s="34" t="s">
        <v>520</v>
      </c>
      <c r="C18" s="35" t="s">
        <v>562</v>
      </c>
      <c r="D18" s="35" t="s">
        <v>245</v>
      </c>
      <c r="E18" s="35" t="s">
        <v>326</v>
      </c>
      <c r="F18" s="35" t="s">
        <v>327</v>
      </c>
      <c r="G18" s="35">
        <v>1</v>
      </c>
      <c r="H18" s="35" t="s">
        <v>193</v>
      </c>
      <c r="I18" s="35" t="s">
        <v>329</v>
      </c>
      <c r="J18" s="35" t="s">
        <v>149</v>
      </c>
    </row>
    <row r="19" spans="2:10" ht="39.75" customHeight="1" x14ac:dyDescent="0.35">
      <c r="B19" s="34" t="s">
        <v>520</v>
      </c>
      <c r="C19" s="35" t="s">
        <v>562</v>
      </c>
      <c r="D19" s="35" t="s">
        <v>47</v>
      </c>
      <c r="E19" s="35" t="s">
        <v>77</v>
      </c>
      <c r="F19" s="35" t="s">
        <v>78</v>
      </c>
      <c r="G19" s="35" t="s">
        <v>53</v>
      </c>
      <c r="H19" s="35" t="s">
        <v>80</v>
      </c>
      <c r="I19" s="35" t="s">
        <v>83</v>
      </c>
      <c r="J19" s="35" t="s">
        <v>84</v>
      </c>
    </row>
    <row r="20" spans="2:10" ht="39.75" customHeight="1" x14ac:dyDescent="0.35">
      <c r="B20" s="34" t="s">
        <v>520</v>
      </c>
      <c r="C20" s="35" t="s">
        <v>562</v>
      </c>
      <c r="D20" s="35" t="s">
        <v>47</v>
      </c>
      <c r="E20" s="35" t="s">
        <v>131</v>
      </c>
      <c r="F20" s="35" t="s">
        <v>132</v>
      </c>
      <c r="G20" s="35" t="s">
        <v>53</v>
      </c>
      <c r="H20" s="35" t="s">
        <v>89</v>
      </c>
      <c r="I20" s="35" t="s">
        <v>135</v>
      </c>
      <c r="J20" s="35" t="s">
        <v>136</v>
      </c>
    </row>
    <row r="21" spans="2:10" ht="39.75" customHeight="1" x14ac:dyDescent="0.35">
      <c r="B21" s="34" t="s">
        <v>520</v>
      </c>
      <c r="C21" s="35" t="s">
        <v>562</v>
      </c>
      <c r="D21" s="35" t="s">
        <v>47</v>
      </c>
      <c r="E21" s="35" t="s">
        <v>137</v>
      </c>
      <c r="F21" s="35" t="s">
        <v>138</v>
      </c>
      <c r="G21" s="35" t="s">
        <v>53</v>
      </c>
      <c r="H21" s="35" t="s">
        <v>89</v>
      </c>
      <c r="I21" s="35" t="s">
        <v>141</v>
      </c>
      <c r="J21" s="35" t="s">
        <v>99</v>
      </c>
    </row>
    <row r="22" spans="2:10" ht="39.75" customHeight="1" x14ac:dyDescent="0.35">
      <c r="B22" s="34" t="s">
        <v>520</v>
      </c>
      <c r="C22" s="35" t="s">
        <v>562</v>
      </c>
      <c r="D22" s="35" t="s">
        <v>47</v>
      </c>
      <c r="E22" s="35" t="s">
        <v>196</v>
      </c>
      <c r="F22" s="35" t="s">
        <v>197</v>
      </c>
      <c r="G22" s="35" t="s">
        <v>55</v>
      </c>
      <c r="H22" s="35" t="s">
        <v>199</v>
      </c>
      <c r="I22" s="35" t="s">
        <v>201</v>
      </c>
      <c r="J22" s="35" t="s">
        <v>119</v>
      </c>
    </row>
    <row r="23" spans="2:10" ht="39.75" customHeight="1" x14ac:dyDescent="0.35">
      <c r="B23" s="34" t="s">
        <v>520</v>
      </c>
      <c r="C23" s="35" t="s">
        <v>562</v>
      </c>
      <c r="D23" s="35" t="s">
        <v>47</v>
      </c>
      <c r="E23" s="35" t="s">
        <v>208</v>
      </c>
      <c r="F23" s="35" t="s">
        <v>209</v>
      </c>
      <c r="G23" s="35" t="s">
        <v>55</v>
      </c>
      <c r="H23" s="35" t="s">
        <v>210</v>
      </c>
      <c r="I23" s="35" t="s">
        <v>212</v>
      </c>
      <c r="J23" s="35" t="s">
        <v>207</v>
      </c>
    </row>
    <row r="24" spans="2:10" ht="39.75" customHeight="1" x14ac:dyDescent="0.35">
      <c r="B24" s="34" t="s">
        <v>520</v>
      </c>
      <c r="C24" s="35" t="s">
        <v>562</v>
      </c>
      <c r="D24" s="35" t="s">
        <v>47</v>
      </c>
      <c r="E24" s="35" t="s">
        <v>213</v>
      </c>
      <c r="F24" s="35" t="s">
        <v>214</v>
      </c>
      <c r="G24" s="35" t="s">
        <v>53</v>
      </c>
      <c r="H24" s="35" t="s">
        <v>216</v>
      </c>
      <c r="I24" s="35" t="s">
        <v>218</v>
      </c>
      <c r="J24" s="35" t="s">
        <v>219</v>
      </c>
    </row>
    <row r="25" spans="2:10" ht="39.75" customHeight="1" x14ac:dyDescent="0.35">
      <c r="B25" s="34" t="s">
        <v>520</v>
      </c>
      <c r="C25" s="35" t="s">
        <v>562</v>
      </c>
      <c r="D25" s="35" t="s">
        <v>47</v>
      </c>
      <c r="E25" s="35" t="s">
        <v>220</v>
      </c>
      <c r="F25" s="35" t="s">
        <v>222</v>
      </c>
      <c r="G25" s="35" t="s">
        <v>55</v>
      </c>
      <c r="H25" s="35" t="s">
        <v>223</v>
      </c>
      <c r="I25" s="35" t="s">
        <v>225</v>
      </c>
      <c r="J25" s="35" t="s">
        <v>226</v>
      </c>
    </row>
    <row r="26" spans="2:10" ht="39.75" customHeight="1" x14ac:dyDescent="0.35">
      <c r="B26" s="34" t="s">
        <v>520</v>
      </c>
      <c r="C26" s="35" t="s">
        <v>562</v>
      </c>
      <c r="D26" s="35" t="s">
        <v>47</v>
      </c>
      <c r="E26" s="35" t="s">
        <v>233</v>
      </c>
      <c r="F26" s="35" t="s">
        <v>234</v>
      </c>
      <c r="G26" s="35" t="s">
        <v>55</v>
      </c>
      <c r="H26" s="35" t="s">
        <v>236</v>
      </c>
      <c r="I26" s="35" t="s">
        <v>238</v>
      </c>
      <c r="J26" s="35" t="s">
        <v>239</v>
      </c>
    </row>
    <row r="27" spans="2:10" ht="39.75" customHeight="1" x14ac:dyDescent="0.35">
      <c r="B27" s="34" t="s">
        <v>520</v>
      </c>
      <c r="C27" s="35" t="s">
        <v>562</v>
      </c>
      <c r="D27" s="35" t="s">
        <v>245</v>
      </c>
      <c r="E27" s="35" t="s">
        <v>269</v>
      </c>
      <c r="F27" s="35" t="s">
        <v>271</v>
      </c>
      <c r="G27" s="35">
        <v>2</v>
      </c>
      <c r="H27" s="35" t="s">
        <v>272</v>
      </c>
      <c r="I27" s="35" t="s">
        <v>274</v>
      </c>
      <c r="J27" s="35" t="s">
        <v>275</v>
      </c>
    </row>
    <row r="28" spans="2:10" ht="39.75" customHeight="1" x14ac:dyDescent="0.35">
      <c r="B28" s="34" t="s">
        <v>520</v>
      </c>
      <c r="C28" s="35" t="s">
        <v>562</v>
      </c>
      <c r="D28" s="35" t="s">
        <v>245</v>
      </c>
      <c r="E28" s="35" t="s">
        <v>284</v>
      </c>
      <c r="F28" s="35" t="s">
        <v>285</v>
      </c>
      <c r="G28" s="35">
        <v>1</v>
      </c>
      <c r="H28" s="35" t="s">
        <v>286</v>
      </c>
      <c r="I28" s="35" t="s">
        <v>288</v>
      </c>
      <c r="J28" s="35" t="s">
        <v>119</v>
      </c>
    </row>
    <row r="29" spans="2:10" ht="39.75" customHeight="1" x14ac:dyDescent="0.35">
      <c r="B29" s="34" t="s">
        <v>520</v>
      </c>
      <c r="C29" s="35" t="s">
        <v>562</v>
      </c>
      <c r="D29" s="35" t="s">
        <v>245</v>
      </c>
      <c r="E29" s="35" t="s">
        <v>321</v>
      </c>
      <c r="F29" s="35" t="s">
        <v>322</v>
      </c>
      <c r="G29" s="35">
        <v>2</v>
      </c>
      <c r="H29" s="35" t="s">
        <v>323</v>
      </c>
      <c r="I29" s="35" t="s">
        <v>325</v>
      </c>
      <c r="J29" s="35" t="s">
        <v>119</v>
      </c>
    </row>
    <row r="30" spans="2:10" ht="39.75" customHeight="1" x14ac:dyDescent="0.35">
      <c r="B30" s="34" t="s">
        <v>520</v>
      </c>
      <c r="C30" s="35" t="s">
        <v>562</v>
      </c>
      <c r="D30" s="35" t="s">
        <v>245</v>
      </c>
      <c r="E30" s="35" t="s">
        <v>61</v>
      </c>
      <c r="F30" s="35" t="s">
        <v>358</v>
      </c>
      <c r="G30" s="35">
        <v>2</v>
      </c>
      <c r="H30" s="35" t="s">
        <v>359</v>
      </c>
      <c r="I30" s="35" t="s">
        <v>361</v>
      </c>
      <c r="J30" s="35" t="s">
        <v>149</v>
      </c>
    </row>
    <row r="31" spans="2:10" ht="39.75" customHeight="1" x14ac:dyDescent="0.35">
      <c r="B31" s="34" t="s">
        <v>520</v>
      </c>
      <c r="C31" s="35" t="s">
        <v>562</v>
      </c>
      <c r="D31" s="35" t="s">
        <v>245</v>
      </c>
      <c r="E31" s="35" t="s">
        <v>77</v>
      </c>
      <c r="F31" s="35" t="s">
        <v>366</v>
      </c>
      <c r="G31" s="35">
        <v>1</v>
      </c>
      <c r="H31" s="35" t="s">
        <v>292</v>
      </c>
      <c r="I31" s="35" t="s">
        <v>368</v>
      </c>
      <c r="J31" s="35" t="s">
        <v>365</v>
      </c>
    </row>
    <row r="32" spans="2:10" ht="39.75" customHeight="1" x14ac:dyDescent="0.35">
      <c r="B32" s="34" t="s">
        <v>520</v>
      </c>
      <c r="C32" s="35" t="s">
        <v>562</v>
      </c>
      <c r="D32" s="35" t="s">
        <v>369</v>
      </c>
      <c r="E32" s="35" t="s">
        <v>398</v>
      </c>
      <c r="F32" s="35" t="s">
        <v>399</v>
      </c>
      <c r="G32" s="35" t="s">
        <v>55</v>
      </c>
      <c r="H32" s="35" t="s">
        <v>400</v>
      </c>
      <c r="I32" s="35" t="s">
        <v>402</v>
      </c>
      <c r="J32" s="35" t="s">
        <v>207</v>
      </c>
    </row>
    <row r="33" spans="2:10" ht="39.75" customHeight="1" x14ac:dyDescent="0.35">
      <c r="B33" s="34" t="s">
        <v>520</v>
      </c>
      <c r="C33" s="35" t="s">
        <v>562</v>
      </c>
      <c r="D33" s="35" t="s">
        <v>369</v>
      </c>
      <c r="E33" s="35" t="s">
        <v>423</v>
      </c>
      <c r="F33" s="35" t="s">
        <v>424</v>
      </c>
      <c r="G33" s="35" t="s">
        <v>55</v>
      </c>
      <c r="H33" s="35" t="s">
        <v>425</v>
      </c>
      <c r="I33" s="35" t="s">
        <v>427</v>
      </c>
      <c r="J33" s="35" t="s">
        <v>207</v>
      </c>
    </row>
    <row r="34" spans="2:10" ht="39.75" customHeight="1" x14ac:dyDescent="0.35">
      <c r="B34" s="34" t="s">
        <v>520</v>
      </c>
      <c r="C34" s="35" t="s">
        <v>562</v>
      </c>
      <c r="D34" s="35" t="s">
        <v>369</v>
      </c>
      <c r="E34" s="35" t="s">
        <v>454</v>
      </c>
      <c r="F34" s="35" t="s">
        <v>455</v>
      </c>
      <c r="G34" s="35" t="s">
        <v>55</v>
      </c>
      <c r="H34" s="35" t="s">
        <v>456</v>
      </c>
      <c r="I34" s="35" t="s">
        <v>458</v>
      </c>
      <c r="J34" s="35" t="s">
        <v>207</v>
      </c>
    </row>
    <row r="35" spans="2:10" ht="39.75" customHeight="1" x14ac:dyDescent="0.35">
      <c r="B35" s="34" t="s">
        <v>520</v>
      </c>
      <c r="C35" s="35" t="s">
        <v>562</v>
      </c>
      <c r="D35" s="35" t="s">
        <v>369</v>
      </c>
      <c r="E35" s="35" t="s">
        <v>469</v>
      </c>
      <c r="F35" s="35" t="s">
        <v>470</v>
      </c>
      <c r="G35" s="35" t="s">
        <v>55</v>
      </c>
      <c r="H35" s="35" t="s">
        <v>471</v>
      </c>
      <c r="I35" s="35" t="s">
        <v>473</v>
      </c>
      <c r="J35" s="35" t="s">
        <v>207</v>
      </c>
    </row>
    <row r="36" spans="2:10" ht="39.75" customHeight="1" x14ac:dyDescent="0.35">
      <c r="B36" s="34" t="s">
        <v>520</v>
      </c>
      <c r="C36" s="35" t="s">
        <v>562</v>
      </c>
      <c r="D36" s="35" t="s">
        <v>369</v>
      </c>
      <c r="E36" s="35" t="s">
        <v>502</v>
      </c>
      <c r="F36" s="35" t="s">
        <v>503</v>
      </c>
      <c r="G36" s="35" t="s">
        <v>55</v>
      </c>
      <c r="H36" s="35" t="s">
        <v>505</v>
      </c>
      <c r="I36" s="35" t="s">
        <v>507</v>
      </c>
      <c r="J36" s="35" t="s">
        <v>119</v>
      </c>
    </row>
    <row r="37" spans="2:10" ht="39.75" customHeight="1" x14ac:dyDescent="0.35">
      <c r="B37" s="34" t="s">
        <v>520</v>
      </c>
      <c r="C37" s="35" t="s">
        <v>562</v>
      </c>
      <c r="D37" s="35" t="s">
        <v>245</v>
      </c>
      <c r="E37" s="35" t="s">
        <v>259</v>
      </c>
      <c r="F37" s="35" t="s">
        <v>260</v>
      </c>
      <c r="G37" s="35">
        <v>2</v>
      </c>
      <c r="H37" s="35" t="s">
        <v>103</v>
      </c>
      <c r="I37" s="35" t="s">
        <v>262</v>
      </c>
      <c r="J37" s="35" t="s">
        <v>107</v>
      </c>
    </row>
    <row r="38" spans="2:10" ht="39.75" customHeight="1" x14ac:dyDescent="0.35">
      <c r="B38" s="34" t="s">
        <v>520</v>
      </c>
      <c r="C38" s="35" t="s">
        <v>562</v>
      </c>
      <c r="D38" s="35" t="s">
        <v>47</v>
      </c>
      <c r="E38" s="35" t="s">
        <v>150</v>
      </c>
      <c r="F38" s="35" t="s">
        <v>152</v>
      </c>
      <c r="G38" s="35" t="s">
        <v>55</v>
      </c>
      <c r="H38" s="35" t="s">
        <v>154</v>
      </c>
      <c r="I38" s="35" t="s">
        <v>156</v>
      </c>
      <c r="J38" s="35" t="s">
        <v>157</v>
      </c>
    </row>
    <row r="39" spans="2:10" ht="39.75" customHeight="1" x14ac:dyDescent="0.35">
      <c r="B39" s="34" t="s">
        <v>520</v>
      </c>
      <c r="C39" s="35" t="s">
        <v>562</v>
      </c>
      <c r="D39" s="35" t="s">
        <v>245</v>
      </c>
      <c r="E39" s="35" t="s">
        <v>253</v>
      </c>
      <c r="F39" s="35" t="s">
        <v>254</v>
      </c>
      <c r="G39" s="35">
        <v>2</v>
      </c>
      <c r="H39" s="35" t="s">
        <v>255</v>
      </c>
      <c r="I39" s="35" t="s">
        <v>257</v>
      </c>
      <c r="J39" s="35" t="s">
        <v>258</v>
      </c>
    </row>
    <row r="40" spans="2:10" ht="39.75" customHeight="1" x14ac:dyDescent="0.35">
      <c r="B40" s="34" t="s">
        <v>520</v>
      </c>
      <c r="C40" s="35" t="s">
        <v>562</v>
      </c>
      <c r="D40" s="35" t="s">
        <v>245</v>
      </c>
      <c r="E40" s="35" t="s">
        <v>295</v>
      </c>
      <c r="F40" s="35" t="s">
        <v>297</v>
      </c>
      <c r="G40" s="35">
        <v>2</v>
      </c>
      <c r="H40" s="35" t="s">
        <v>223</v>
      </c>
      <c r="I40" s="35" t="s">
        <v>299</v>
      </c>
      <c r="J40" s="35" t="s">
        <v>300</v>
      </c>
    </row>
    <row r="41" spans="2:10" ht="39.75" customHeight="1" x14ac:dyDescent="0.35">
      <c r="B41" s="34" t="s">
        <v>520</v>
      </c>
      <c r="C41" s="35" t="s">
        <v>562</v>
      </c>
      <c r="D41" s="35" t="s">
        <v>369</v>
      </c>
      <c r="E41" s="35" t="s">
        <v>418</v>
      </c>
      <c r="F41" s="35" t="s">
        <v>419</v>
      </c>
      <c r="G41" s="35" t="s">
        <v>53</v>
      </c>
      <c r="H41" s="35" t="s">
        <v>420</v>
      </c>
      <c r="I41" s="35" t="s">
        <v>422</v>
      </c>
      <c r="J41" s="35" t="s">
        <v>207</v>
      </c>
    </row>
    <row r="42" spans="2:10" ht="39.75" customHeight="1" x14ac:dyDescent="0.35">
      <c r="B42" s="34" t="s">
        <v>520</v>
      </c>
      <c r="C42" s="35" t="s">
        <v>562</v>
      </c>
      <c r="D42" s="35" t="s">
        <v>369</v>
      </c>
      <c r="E42" s="35" t="s">
        <v>474</v>
      </c>
      <c r="F42" s="35" t="s">
        <v>476</v>
      </c>
      <c r="G42" s="35" t="s">
        <v>55</v>
      </c>
      <c r="H42" s="35" t="s">
        <v>286</v>
      </c>
      <c r="I42" s="35" t="s">
        <v>479</v>
      </c>
      <c r="J42" s="35" t="s">
        <v>207</v>
      </c>
    </row>
    <row r="43" spans="2:10" ht="39.75" customHeight="1" x14ac:dyDescent="0.35">
      <c r="B43" s="34" t="s">
        <v>520</v>
      </c>
      <c r="C43" s="35" t="s">
        <v>562</v>
      </c>
      <c r="D43" s="35" t="s">
        <v>369</v>
      </c>
      <c r="E43" s="35" t="s">
        <v>484</v>
      </c>
      <c r="F43" s="35" t="s">
        <v>485</v>
      </c>
      <c r="G43" s="35" t="s">
        <v>55</v>
      </c>
      <c r="H43" s="35" t="s">
        <v>161</v>
      </c>
      <c r="I43" s="35" t="s">
        <v>487</v>
      </c>
      <c r="J43" s="35" t="s">
        <v>488</v>
      </c>
    </row>
    <row r="44" spans="2:10" ht="39.75" customHeight="1" x14ac:dyDescent="0.35">
      <c r="B44" s="34" t="s">
        <v>520</v>
      </c>
      <c r="C44" s="35" t="s">
        <v>562</v>
      </c>
      <c r="D44" s="35" t="s">
        <v>369</v>
      </c>
      <c r="E44" s="35" t="s">
        <v>489</v>
      </c>
      <c r="F44" s="35" t="s">
        <v>490</v>
      </c>
      <c r="G44" s="35" t="s">
        <v>55</v>
      </c>
      <c r="H44" s="35" t="s">
        <v>491</v>
      </c>
      <c r="I44" s="35" t="s">
        <v>493</v>
      </c>
      <c r="J44" s="35" t="s">
        <v>207</v>
      </c>
    </row>
    <row r="45" spans="2:10" ht="39.75" customHeight="1" x14ac:dyDescent="0.35">
      <c r="B45" s="34" t="s">
        <v>520</v>
      </c>
      <c r="C45" s="35" t="s">
        <v>562</v>
      </c>
      <c r="D45" s="35" t="s">
        <v>369</v>
      </c>
      <c r="E45" s="35" t="s">
        <v>508</v>
      </c>
      <c r="F45" s="35" t="s">
        <v>509</v>
      </c>
      <c r="G45" s="35" t="s">
        <v>53</v>
      </c>
      <c r="H45" s="35" t="s">
        <v>307</v>
      </c>
      <c r="I45" s="35" t="s">
        <v>511</v>
      </c>
      <c r="J45" s="35" t="s">
        <v>119</v>
      </c>
    </row>
    <row r="46" spans="2:10" ht="39.75" customHeight="1" x14ac:dyDescent="0.35">
      <c r="B46" s="36" t="s">
        <v>521</v>
      </c>
      <c r="C46" s="35" t="s">
        <v>563</v>
      </c>
      <c r="D46" s="35" t="s">
        <v>245</v>
      </c>
      <c r="E46" s="35" t="s">
        <v>263</v>
      </c>
      <c r="F46" s="35" t="s">
        <v>264</v>
      </c>
      <c r="G46" s="35">
        <v>1</v>
      </c>
      <c r="H46" s="35" t="s">
        <v>265</v>
      </c>
      <c r="I46" s="35" t="s">
        <v>267</v>
      </c>
      <c r="J46" s="35" t="s">
        <v>268</v>
      </c>
    </row>
    <row r="47" spans="2:10" ht="39.75" customHeight="1" x14ac:dyDescent="0.35">
      <c r="B47" s="36" t="s">
        <v>521</v>
      </c>
      <c r="C47" s="35" t="s">
        <v>563</v>
      </c>
      <c r="D47" s="35" t="s">
        <v>245</v>
      </c>
      <c r="E47" s="35" t="s">
        <v>330</v>
      </c>
      <c r="F47" s="35" t="s">
        <v>331</v>
      </c>
      <c r="G47" s="35">
        <v>2</v>
      </c>
      <c r="H47" s="35" t="s">
        <v>332</v>
      </c>
      <c r="I47" s="35" t="s">
        <v>334</v>
      </c>
      <c r="J47" s="35" t="s">
        <v>207</v>
      </c>
    </row>
    <row r="48" spans="2:10" ht="39.75" customHeight="1" x14ac:dyDescent="0.35">
      <c r="B48" s="36" t="s">
        <v>521</v>
      </c>
      <c r="C48" s="35" t="s">
        <v>563</v>
      </c>
      <c r="D48" s="35" t="s">
        <v>47</v>
      </c>
      <c r="E48" s="35" t="s">
        <v>85</v>
      </c>
      <c r="F48" s="35" t="s">
        <v>87</v>
      </c>
      <c r="G48" s="35" t="s">
        <v>53</v>
      </c>
      <c r="H48" s="35" t="s">
        <v>89</v>
      </c>
      <c r="I48" s="35" t="s">
        <v>92</v>
      </c>
      <c r="J48" s="35" t="s">
        <v>93</v>
      </c>
    </row>
    <row r="49" spans="2:10" ht="39.75" customHeight="1" x14ac:dyDescent="0.35">
      <c r="B49" s="36" t="s">
        <v>521</v>
      </c>
      <c r="C49" s="35" t="s">
        <v>563</v>
      </c>
      <c r="D49" s="35" t="s">
        <v>47</v>
      </c>
      <c r="E49" s="35" t="s">
        <v>94</v>
      </c>
      <c r="F49" s="35" t="s">
        <v>95</v>
      </c>
      <c r="G49" s="35" t="s">
        <v>53</v>
      </c>
      <c r="H49" s="35" t="s">
        <v>89</v>
      </c>
      <c r="I49" s="35" t="s">
        <v>98</v>
      </c>
      <c r="J49" s="35" t="s">
        <v>99</v>
      </c>
    </row>
    <row r="50" spans="2:10" ht="39.75" customHeight="1" x14ac:dyDescent="0.35">
      <c r="B50" s="36" t="s">
        <v>521</v>
      </c>
      <c r="C50" s="35" t="s">
        <v>563</v>
      </c>
      <c r="D50" s="35" t="s">
        <v>47</v>
      </c>
      <c r="E50" s="35" t="s">
        <v>108</v>
      </c>
      <c r="F50" s="35" t="s">
        <v>109</v>
      </c>
      <c r="G50" s="35" t="s">
        <v>55</v>
      </c>
      <c r="H50" s="35" t="s">
        <v>89</v>
      </c>
      <c r="I50" s="35" t="s">
        <v>112</v>
      </c>
      <c r="J50" s="35" t="s">
        <v>113</v>
      </c>
    </row>
    <row r="51" spans="2:10" ht="39.75" customHeight="1" x14ac:dyDescent="0.35">
      <c r="B51" s="36" t="s">
        <v>521</v>
      </c>
      <c r="C51" s="35" t="s">
        <v>563</v>
      </c>
      <c r="D51" s="35" t="s">
        <v>47</v>
      </c>
      <c r="E51" s="35" t="s">
        <v>172</v>
      </c>
      <c r="F51" s="35" t="s">
        <v>173</v>
      </c>
      <c r="G51" s="35" t="s">
        <v>53</v>
      </c>
      <c r="H51" s="35" t="s">
        <v>174</v>
      </c>
      <c r="I51" s="35" t="s">
        <v>176</v>
      </c>
      <c r="J51" s="35" t="s">
        <v>84</v>
      </c>
    </row>
    <row r="52" spans="2:10" ht="39.75" customHeight="1" x14ac:dyDescent="0.35">
      <c r="B52" s="36" t="s">
        <v>521</v>
      </c>
      <c r="C52" s="35" t="s">
        <v>563</v>
      </c>
      <c r="D52" s="35" t="s">
        <v>47</v>
      </c>
      <c r="E52" s="35" t="s">
        <v>177</v>
      </c>
      <c r="F52" s="35" t="s">
        <v>179</v>
      </c>
      <c r="G52" s="35" t="s">
        <v>53</v>
      </c>
      <c r="H52" s="35" t="s">
        <v>181</v>
      </c>
      <c r="I52" s="35" t="s">
        <v>183</v>
      </c>
      <c r="J52" s="35" t="s">
        <v>119</v>
      </c>
    </row>
    <row r="53" spans="2:10" ht="39.75" customHeight="1" x14ac:dyDescent="0.35">
      <c r="B53" s="36" t="s">
        <v>521</v>
      </c>
      <c r="C53" s="35" t="s">
        <v>563</v>
      </c>
      <c r="D53" s="35" t="s">
        <v>47</v>
      </c>
      <c r="E53" s="35" t="s">
        <v>184</v>
      </c>
      <c r="F53" s="35" t="s">
        <v>185</v>
      </c>
      <c r="G53" s="35" t="s">
        <v>53</v>
      </c>
      <c r="H53" s="35" t="s">
        <v>187</v>
      </c>
      <c r="I53" s="35" t="s">
        <v>189</v>
      </c>
      <c r="J53" s="35" t="s">
        <v>119</v>
      </c>
    </row>
    <row r="54" spans="2:10" ht="39.75" customHeight="1" x14ac:dyDescent="0.35">
      <c r="B54" s="36" t="s">
        <v>521</v>
      </c>
      <c r="C54" s="35" t="s">
        <v>563</v>
      </c>
      <c r="D54" s="35" t="s">
        <v>47</v>
      </c>
      <c r="E54" s="35" t="s">
        <v>240</v>
      </c>
      <c r="F54" s="35" t="s">
        <v>241</v>
      </c>
      <c r="G54" s="35" t="s">
        <v>55</v>
      </c>
      <c r="H54" s="35" t="s">
        <v>242</v>
      </c>
      <c r="I54" s="35" t="s">
        <v>244</v>
      </c>
      <c r="J54" s="35" t="s">
        <v>207</v>
      </c>
    </row>
    <row r="55" spans="2:10" ht="39.75" customHeight="1" x14ac:dyDescent="0.35">
      <c r="B55" s="36" t="s">
        <v>521</v>
      </c>
      <c r="C55" s="35" t="s">
        <v>563</v>
      </c>
      <c r="D55" s="35" t="s">
        <v>369</v>
      </c>
      <c r="E55" s="35" t="s">
        <v>370</v>
      </c>
      <c r="F55" s="35" t="s">
        <v>372</v>
      </c>
      <c r="G55" s="35" t="s">
        <v>55</v>
      </c>
      <c r="H55" s="35" t="s">
        <v>374</v>
      </c>
      <c r="I55" s="35" t="s">
        <v>376</v>
      </c>
      <c r="J55" s="35" t="s">
        <v>377</v>
      </c>
    </row>
    <row r="56" spans="2:10" ht="39.75" customHeight="1" x14ac:dyDescent="0.35">
      <c r="B56" s="36" t="s">
        <v>521</v>
      </c>
      <c r="C56" s="35" t="s">
        <v>563</v>
      </c>
      <c r="D56" s="35" t="s">
        <v>369</v>
      </c>
      <c r="E56" s="35" t="s">
        <v>403</v>
      </c>
      <c r="F56" s="35" t="s">
        <v>404</v>
      </c>
      <c r="G56" s="35" t="s">
        <v>55</v>
      </c>
      <c r="H56" s="35" t="s">
        <v>64</v>
      </c>
      <c r="I56" s="35" t="s">
        <v>406</v>
      </c>
      <c r="J56" s="35" t="s">
        <v>207</v>
      </c>
    </row>
    <row r="57" spans="2:10" ht="39.75" customHeight="1" x14ac:dyDescent="0.35">
      <c r="B57" s="36" t="s">
        <v>521</v>
      </c>
      <c r="C57" s="35" t="s">
        <v>563</v>
      </c>
      <c r="D57" s="35" t="s">
        <v>369</v>
      </c>
      <c r="E57" s="35" t="s">
        <v>407</v>
      </c>
      <c r="F57" s="35" t="s">
        <v>408</v>
      </c>
      <c r="G57" s="35" t="s">
        <v>53</v>
      </c>
      <c r="H57" s="35" t="s">
        <v>409</v>
      </c>
      <c r="I57" s="35" t="s">
        <v>411</v>
      </c>
      <c r="J57" s="35" t="s">
        <v>207</v>
      </c>
    </row>
    <row r="58" spans="2:10" ht="39.75" customHeight="1" x14ac:dyDescent="0.35">
      <c r="B58" s="36" t="s">
        <v>521</v>
      </c>
      <c r="C58" s="35" t="s">
        <v>563</v>
      </c>
      <c r="D58" s="35" t="s">
        <v>369</v>
      </c>
      <c r="E58" s="35" t="s">
        <v>412</v>
      </c>
      <c r="F58" s="35" t="s">
        <v>414</v>
      </c>
      <c r="G58" s="35" t="s">
        <v>55</v>
      </c>
      <c r="H58" s="35" t="s">
        <v>415</v>
      </c>
      <c r="I58" s="35" t="s">
        <v>417</v>
      </c>
      <c r="J58" s="35" t="s">
        <v>207</v>
      </c>
    </row>
    <row r="59" spans="2:10" ht="39.75" customHeight="1" x14ac:dyDescent="0.35">
      <c r="B59" s="36" t="s">
        <v>521</v>
      </c>
      <c r="C59" s="35" t="s">
        <v>563</v>
      </c>
      <c r="D59" s="35" t="s">
        <v>369</v>
      </c>
      <c r="E59" s="35" t="s">
        <v>433</v>
      </c>
      <c r="F59" s="35" t="s">
        <v>434</v>
      </c>
      <c r="G59" s="35" t="s">
        <v>55</v>
      </c>
      <c r="H59" s="35" t="s">
        <v>435</v>
      </c>
      <c r="I59" s="35" t="s">
        <v>437</v>
      </c>
      <c r="J59" s="35" t="s">
        <v>438</v>
      </c>
    </row>
    <row r="60" spans="2:10" ht="39.75" customHeight="1" x14ac:dyDescent="0.35">
      <c r="B60" s="36" t="s">
        <v>521</v>
      </c>
      <c r="C60" s="35" t="s">
        <v>563</v>
      </c>
      <c r="D60" s="35" t="s">
        <v>369</v>
      </c>
      <c r="E60" s="35" t="s">
        <v>439</v>
      </c>
      <c r="F60" s="35" t="s">
        <v>440</v>
      </c>
      <c r="G60" s="35" t="s">
        <v>53</v>
      </c>
      <c r="H60" s="35" t="s">
        <v>441</v>
      </c>
      <c r="I60" s="35" t="s">
        <v>443</v>
      </c>
      <c r="J60" s="35" t="s">
        <v>207</v>
      </c>
    </row>
    <row r="61" spans="2:10" ht="39.75" customHeight="1" x14ac:dyDescent="0.35">
      <c r="B61" s="36" t="s">
        <v>521</v>
      </c>
      <c r="C61" s="35" t="s">
        <v>563</v>
      </c>
      <c r="D61" s="35" t="s">
        <v>369</v>
      </c>
      <c r="E61" s="35" t="s">
        <v>444</v>
      </c>
      <c r="F61" s="35" t="s">
        <v>446</v>
      </c>
      <c r="G61" s="35" t="s">
        <v>53</v>
      </c>
      <c r="H61" s="35" t="s">
        <v>103</v>
      </c>
      <c r="I61" s="35" t="s">
        <v>448</v>
      </c>
      <c r="J61" s="35" t="s">
        <v>438</v>
      </c>
    </row>
    <row r="62" spans="2:10" ht="39.75" customHeight="1" x14ac:dyDescent="0.35">
      <c r="B62" s="36" t="s">
        <v>521</v>
      </c>
      <c r="C62" s="35" t="s">
        <v>563</v>
      </c>
      <c r="D62" s="35" t="s">
        <v>369</v>
      </c>
      <c r="E62" s="35" t="s">
        <v>459</v>
      </c>
      <c r="F62" s="35" t="s">
        <v>460</v>
      </c>
      <c r="G62" s="35" t="s">
        <v>53</v>
      </c>
      <c r="H62" s="35" t="s">
        <v>461</v>
      </c>
      <c r="I62" s="35" t="s">
        <v>463</v>
      </c>
      <c r="J62" s="35" t="s">
        <v>207</v>
      </c>
    </row>
    <row r="63" spans="2:10" ht="39.75" customHeight="1" x14ac:dyDescent="0.35">
      <c r="B63" s="36" t="s">
        <v>521</v>
      </c>
      <c r="C63" s="35" t="s">
        <v>563</v>
      </c>
      <c r="D63" s="35" t="s">
        <v>369</v>
      </c>
      <c r="E63" s="35" t="s">
        <v>480</v>
      </c>
      <c r="F63" s="35" t="s">
        <v>481</v>
      </c>
      <c r="G63" s="35" t="s">
        <v>53</v>
      </c>
      <c r="H63" s="35" t="s">
        <v>359</v>
      </c>
      <c r="I63" s="35" t="s">
        <v>483</v>
      </c>
      <c r="J63" s="35" t="s">
        <v>207</v>
      </c>
    </row>
    <row r="64" spans="2:10" ht="39.75" customHeight="1" x14ac:dyDescent="0.35">
      <c r="B64" s="36" t="s">
        <v>521</v>
      </c>
      <c r="C64" s="35" t="s">
        <v>563</v>
      </c>
      <c r="D64" s="35" t="s">
        <v>369</v>
      </c>
      <c r="E64" s="35" t="s">
        <v>494</v>
      </c>
      <c r="F64" s="35" t="s">
        <v>496</v>
      </c>
      <c r="G64" s="35" t="s">
        <v>53</v>
      </c>
      <c r="H64" s="35" t="s">
        <v>498</v>
      </c>
      <c r="I64" s="35" t="s">
        <v>500</v>
      </c>
      <c r="J64" s="35" t="s">
        <v>501</v>
      </c>
    </row>
    <row r="65" spans="2:10" ht="39.75" customHeight="1" x14ac:dyDescent="0.35">
      <c r="B65" s="36" t="s">
        <v>521</v>
      </c>
      <c r="C65" s="35" t="s">
        <v>563</v>
      </c>
      <c r="D65" s="35" t="s">
        <v>369</v>
      </c>
      <c r="E65" s="35" t="s">
        <v>512</v>
      </c>
      <c r="F65" s="35" t="s">
        <v>513</v>
      </c>
      <c r="G65" s="35" t="s">
        <v>53</v>
      </c>
      <c r="H65" s="35" t="s">
        <v>229</v>
      </c>
      <c r="I65" s="35" t="s">
        <v>516</v>
      </c>
      <c r="J65" s="35" t="s">
        <v>517</v>
      </c>
    </row>
    <row r="66" spans="2:10" ht="39.75" customHeight="1" x14ac:dyDescent="0.35">
      <c r="B66" s="36" t="s">
        <v>521</v>
      </c>
      <c r="C66" s="35" t="s">
        <v>563</v>
      </c>
      <c r="D66" s="35" t="s">
        <v>245</v>
      </c>
      <c r="E66" s="35" t="s">
        <v>335</v>
      </c>
      <c r="F66" s="35" t="s">
        <v>336</v>
      </c>
      <c r="G66" s="35">
        <v>2</v>
      </c>
      <c r="H66" s="35" t="s">
        <v>204</v>
      </c>
      <c r="I66" s="35" t="s">
        <v>338</v>
      </c>
      <c r="J66" s="35" t="s">
        <v>207</v>
      </c>
    </row>
    <row r="67" spans="2:10" ht="39.75" customHeight="1" x14ac:dyDescent="0.35">
      <c r="B67" s="36" t="s">
        <v>521</v>
      </c>
      <c r="C67" s="35" t="s">
        <v>563</v>
      </c>
      <c r="D67" s="35" t="s">
        <v>245</v>
      </c>
      <c r="E67" s="35" t="s">
        <v>344</v>
      </c>
      <c r="F67" s="35" t="s">
        <v>345</v>
      </c>
      <c r="G67" s="35">
        <v>3</v>
      </c>
      <c r="H67" s="35" t="s">
        <v>174</v>
      </c>
      <c r="I67" s="35" t="s">
        <v>347</v>
      </c>
      <c r="J67" s="35" t="s">
        <v>84</v>
      </c>
    </row>
    <row r="68" spans="2:10" ht="39.75" customHeight="1" x14ac:dyDescent="0.35">
      <c r="B68" s="36" t="s">
        <v>521</v>
      </c>
      <c r="C68" s="35" t="s">
        <v>563</v>
      </c>
      <c r="D68" s="35" t="s">
        <v>245</v>
      </c>
      <c r="E68" s="35" t="s">
        <v>348</v>
      </c>
      <c r="F68" s="35" t="s">
        <v>349</v>
      </c>
      <c r="G68" s="35">
        <v>2</v>
      </c>
      <c r="H68" s="35" t="s">
        <v>350</v>
      </c>
      <c r="I68" s="35" t="s">
        <v>352</v>
      </c>
      <c r="J68" s="35" t="s">
        <v>149</v>
      </c>
    </row>
    <row r="69" spans="2:10" ht="39.75" customHeight="1" x14ac:dyDescent="0.35">
      <c r="B69" s="36" t="s">
        <v>521</v>
      </c>
      <c r="C69" s="35" t="s">
        <v>563</v>
      </c>
      <c r="D69" s="35" t="s">
        <v>47</v>
      </c>
      <c r="E69" s="35" t="s">
        <v>100</v>
      </c>
      <c r="F69" s="35" t="s">
        <v>101</v>
      </c>
      <c r="G69" s="35" t="s">
        <v>55</v>
      </c>
      <c r="H69" s="35" t="s">
        <v>103</v>
      </c>
      <c r="I69" s="35" t="s">
        <v>106</v>
      </c>
      <c r="J69" s="35" t="s">
        <v>107</v>
      </c>
    </row>
    <row r="70" spans="2:10" ht="39.75" customHeight="1" x14ac:dyDescent="0.35">
      <c r="B70" s="36" t="s">
        <v>521</v>
      </c>
      <c r="C70" s="35" t="s">
        <v>563</v>
      </c>
      <c r="D70" s="35" t="s">
        <v>47</v>
      </c>
      <c r="E70" s="35" t="s">
        <v>120</v>
      </c>
      <c r="F70" s="35" t="s">
        <v>122</v>
      </c>
      <c r="G70" s="35" t="s">
        <v>53</v>
      </c>
      <c r="H70" s="35" t="s">
        <v>89</v>
      </c>
      <c r="I70" s="35" t="s">
        <v>125</v>
      </c>
      <c r="J70" s="35" t="s">
        <v>99</v>
      </c>
    </row>
    <row r="71" spans="2:10" ht="39.75" customHeight="1" x14ac:dyDescent="0.35">
      <c r="B71" s="36" t="s">
        <v>521</v>
      </c>
      <c r="C71" s="35" t="s">
        <v>563</v>
      </c>
      <c r="D71" s="35" t="s">
        <v>47</v>
      </c>
      <c r="E71" s="35" t="s">
        <v>126</v>
      </c>
      <c r="F71" s="35" t="s">
        <v>127</v>
      </c>
      <c r="G71" s="35" t="s">
        <v>53</v>
      </c>
      <c r="H71" s="35" t="s">
        <v>89</v>
      </c>
      <c r="I71" s="35" t="s">
        <v>130</v>
      </c>
      <c r="J71" s="35" t="s">
        <v>99</v>
      </c>
    </row>
    <row r="72" spans="2:10" ht="39.75" customHeight="1" x14ac:dyDescent="0.35">
      <c r="B72" s="36" t="s">
        <v>521</v>
      </c>
      <c r="C72" s="35" t="s">
        <v>563</v>
      </c>
      <c r="D72" s="35" t="s">
        <v>47</v>
      </c>
      <c r="E72" s="35" t="s">
        <v>142</v>
      </c>
      <c r="F72" s="35" t="s">
        <v>143</v>
      </c>
      <c r="G72" s="35" t="s">
        <v>53</v>
      </c>
      <c r="H72" s="35" t="s">
        <v>145</v>
      </c>
      <c r="I72" s="35" t="s">
        <v>148</v>
      </c>
      <c r="J72" s="35" t="s">
        <v>149</v>
      </c>
    </row>
    <row r="73" spans="2:10" ht="39.75" customHeight="1" x14ac:dyDescent="0.35">
      <c r="B73" s="36" t="s">
        <v>521</v>
      </c>
      <c r="C73" s="35" t="s">
        <v>563</v>
      </c>
      <c r="D73" s="35" t="s">
        <v>245</v>
      </c>
      <c r="E73" s="35" t="s">
        <v>339</v>
      </c>
      <c r="F73" s="35" t="s">
        <v>341</v>
      </c>
      <c r="G73" s="35">
        <v>3</v>
      </c>
      <c r="H73" s="35" t="s">
        <v>161</v>
      </c>
      <c r="I73" s="35" t="s">
        <v>343</v>
      </c>
      <c r="J73" s="35" t="s">
        <v>164</v>
      </c>
    </row>
    <row r="74" spans="2:10" ht="39.75" customHeight="1" x14ac:dyDescent="0.35">
      <c r="B74" s="36" t="s">
        <v>521</v>
      </c>
      <c r="C74" s="35" t="s">
        <v>563</v>
      </c>
      <c r="D74" s="35" t="s">
        <v>369</v>
      </c>
      <c r="E74" s="35" t="s">
        <v>383</v>
      </c>
      <c r="F74" s="35" t="s">
        <v>384</v>
      </c>
      <c r="G74" s="35" t="s">
        <v>55</v>
      </c>
      <c r="H74" s="35" t="s">
        <v>255</v>
      </c>
      <c r="I74" s="35" t="s">
        <v>386</v>
      </c>
      <c r="J74" s="35" t="s">
        <v>377</v>
      </c>
    </row>
    <row r="75" spans="2:10" ht="39.75" customHeight="1" x14ac:dyDescent="0.35">
      <c r="B75" s="36" t="s">
        <v>521</v>
      </c>
      <c r="C75" s="35" t="s">
        <v>563</v>
      </c>
      <c r="D75" s="35" t="s">
        <v>369</v>
      </c>
      <c r="E75" s="35" t="s">
        <v>393</v>
      </c>
      <c r="F75" s="35" t="s">
        <v>395</v>
      </c>
      <c r="G75" s="35" t="s">
        <v>55</v>
      </c>
      <c r="H75" s="35" t="s">
        <v>52</v>
      </c>
      <c r="I75" s="35" t="s">
        <v>397</v>
      </c>
      <c r="J75" s="35" t="s">
        <v>207</v>
      </c>
    </row>
    <row r="76" spans="2:10" ht="39.75" customHeight="1" x14ac:dyDescent="0.35">
      <c r="B76" s="36" t="s">
        <v>521</v>
      </c>
      <c r="C76" s="35" t="s">
        <v>563</v>
      </c>
      <c r="D76" s="35" t="s">
        <v>369</v>
      </c>
      <c r="E76" s="35" t="s">
        <v>428</v>
      </c>
      <c r="F76" s="35" t="s">
        <v>429</v>
      </c>
      <c r="G76" s="35" t="s">
        <v>53</v>
      </c>
      <c r="H76" s="35" t="s">
        <v>430</v>
      </c>
      <c r="I76" s="35" t="s">
        <v>432</v>
      </c>
      <c r="J76" s="35" t="s">
        <v>207</v>
      </c>
    </row>
    <row r="77" spans="2:10" ht="39.75" customHeight="1" x14ac:dyDescent="0.35">
      <c r="B77" s="36" t="s">
        <v>521</v>
      </c>
      <c r="C77" s="35" t="s">
        <v>563</v>
      </c>
      <c r="D77" s="35" t="s">
        <v>369</v>
      </c>
      <c r="E77" s="35" t="s">
        <v>449</v>
      </c>
      <c r="F77" s="35" t="s">
        <v>450</v>
      </c>
      <c r="G77" s="35" t="s">
        <v>53</v>
      </c>
      <c r="H77" s="35" t="s">
        <v>451</v>
      </c>
      <c r="I77" s="35" t="s">
        <v>453</v>
      </c>
      <c r="J77" s="35" t="s">
        <v>207</v>
      </c>
    </row>
    <row r="78" spans="2:10" ht="39.75" customHeight="1" x14ac:dyDescent="0.35">
      <c r="B78" s="37" t="s">
        <v>522</v>
      </c>
      <c r="C78" s="35" t="s">
        <v>564</v>
      </c>
      <c r="D78" s="35" t="s">
        <v>47</v>
      </c>
      <c r="E78" s="35" t="s">
        <v>69</v>
      </c>
      <c r="F78" s="35" t="s">
        <v>70</v>
      </c>
      <c r="G78" s="35" t="s">
        <v>53</v>
      </c>
      <c r="H78" s="35" t="s">
        <v>72</v>
      </c>
      <c r="I78" s="35" t="s">
        <v>75</v>
      </c>
      <c r="J78" s="35" t="s">
        <v>76</v>
      </c>
    </row>
    <row r="79" spans="2:10" ht="39.75" customHeight="1" x14ac:dyDescent="0.35">
      <c r="B79" s="37" t="s">
        <v>522</v>
      </c>
      <c r="C79" s="35" t="s">
        <v>564</v>
      </c>
      <c r="D79" s="35" t="s">
        <v>47</v>
      </c>
      <c r="E79" s="35" t="s">
        <v>165</v>
      </c>
      <c r="F79" s="35" t="s">
        <v>166</v>
      </c>
      <c r="G79" s="35" t="s">
        <v>53</v>
      </c>
      <c r="H79" s="35" t="s">
        <v>168</v>
      </c>
      <c r="I79" s="35" t="s">
        <v>170</v>
      </c>
      <c r="J79" s="35" t="s">
        <v>171</v>
      </c>
    </row>
    <row r="80" spans="2:10" ht="39.75" customHeight="1" x14ac:dyDescent="0.35">
      <c r="B80" s="37" t="s">
        <v>522</v>
      </c>
      <c r="C80" s="35" t="s">
        <v>564</v>
      </c>
      <c r="D80" s="35" t="s">
        <v>369</v>
      </c>
      <c r="E80" s="35" t="s">
        <v>378</v>
      </c>
      <c r="F80" s="35" t="s">
        <v>379</v>
      </c>
      <c r="G80" s="35" t="s">
        <v>53</v>
      </c>
      <c r="H80" s="35" t="s">
        <v>154</v>
      </c>
      <c r="I80" s="35" t="s">
        <v>382</v>
      </c>
      <c r="J80" s="35" t="s">
        <v>251</v>
      </c>
    </row>
    <row r="81" spans="2:10" ht="39.75" customHeight="1" x14ac:dyDescent="0.35">
      <c r="B81" s="37" t="s">
        <v>522</v>
      </c>
      <c r="C81" s="35" t="s">
        <v>564</v>
      </c>
      <c r="D81" s="35" t="s">
        <v>369</v>
      </c>
      <c r="E81" s="35" t="s">
        <v>464</v>
      </c>
      <c r="F81" s="35" t="s">
        <v>465</v>
      </c>
      <c r="G81" s="35" t="s">
        <v>53</v>
      </c>
      <c r="H81" s="35" t="s">
        <v>466</v>
      </c>
      <c r="I81" s="35" t="s">
        <v>468</v>
      </c>
      <c r="J81" s="35" t="s">
        <v>207</v>
      </c>
    </row>
  </sheetData>
  <sheetProtection sheet="1" objects="1" scenarios="1"/>
  <autoFilter ref="B4:J81" xr:uid="{00000000-0009-0000-0000-000007000000}"/>
  <mergeCells count="1">
    <mergeCell ref="B2:I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  <pageSetUpPr fitToPage="1"/>
  </sheetPr>
  <dimension ref="B2:J84"/>
  <sheetViews>
    <sheetView showGridLines="0" zoomScaleNormal="100" workbookViewId="0">
      <selection activeCell="A3" sqref="A3:XFD3"/>
    </sheetView>
  </sheetViews>
  <sheetFormatPr baseColWidth="10" defaultColWidth="8.6328125" defaultRowHeight="14.5" x14ac:dyDescent="0.35"/>
  <cols>
    <col min="1" max="1" width="8.6328125" style="33"/>
    <col min="2" max="3" width="11" style="33" customWidth="1"/>
    <col min="4" max="4" width="16" style="33" customWidth="1"/>
    <col min="5" max="5" width="7" style="33" customWidth="1"/>
    <col min="6" max="6" width="40" style="33" customWidth="1"/>
    <col min="7" max="7" width="13" style="33" customWidth="1"/>
    <col min="8" max="8" width="38" style="33" customWidth="1"/>
    <col min="9" max="9" width="44" style="33" customWidth="1"/>
    <col min="10" max="10" width="22" style="33" customWidth="1"/>
    <col min="11" max="16384" width="8.6328125" style="33"/>
  </cols>
  <sheetData>
    <row r="2" spans="2:10" ht="27.75" customHeight="1" x14ac:dyDescent="0.35">
      <c r="B2" s="39" t="s">
        <v>567</v>
      </c>
      <c r="C2" s="39"/>
      <c r="D2" s="39"/>
      <c r="E2" s="39"/>
      <c r="F2" s="39"/>
      <c r="G2" s="39"/>
      <c r="H2" s="39"/>
      <c r="I2" s="39"/>
    </row>
    <row r="4" spans="2:10" ht="25.5" customHeight="1" x14ac:dyDescent="0.35">
      <c r="B4" s="40" t="s">
        <v>40</v>
      </c>
      <c r="C4" s="40" t="s">
        <v>559</v>
      </c>
      <c r="D4" s="40" t="s">
        <v>24</v>
      </c>
      <c r="E4" s="40" t="s">
        <v>25</v>
      </c>
      <c r="F4" s="40" t="s">
        <v>27</v>
      </c>
      <c r="G4" s="40" t="s">
        <v>560</v>
      </c>
      <c r="H4" s="40" t="s">
        <v>561</v>
      </c>
      <c r="I4" s="40" t="s">
        <v>44</v>
      </c>
      <c r="J4" s="40" t="s">
        <v>45</v>
      </c>
    </row>
    <row r="5" spans="2:10" ht="39.75" customHeight="1" x14ac:dyDescent="0.35">
      <c r="B5" s="34" t="s">
        <v>520</v>
      </c>
      <c r="C5" s="35" t="s">
        <v>562</v>
      </c>
      <c r="D5" s="35" t="s">
        <v>47</v>
      </c>
      <c r="E5" s="35" t="s">
        <v>114</v>
      </c>
      <c r="F5" s="35" t="s">
        <v>115</v>
      </c>
      <c r="G5" s="35" t="s">
        <v>55</v>
      </c>
      <c r="H5" s="35" t="s">
        <v>89</v>
      </c>
      <c r="I5" s="35" t="s">
        <v>118</v>
      </c>
      <c r="J5" s="35" t="s">
        <v>119</v>
      </c>
    </row>
    <row r="6" spans="2:10" ht="39.75" customHeight="1" x14ac:dyDescent="0.35">
      <c r="B6" s="34" t="s">
        <v>520</v>
      </c>
      <c r="C6" s="35" t="s">
        <v>562</v>
      </c>
      <c r="D6" s="35" t="s">
        <v>47</v>
      </c>
      <c r="E6" s="35" t="s">
        <v>158</v>
      </c>
      <c r="F6" s="35" t="s">
        <v>159</v>
      </c>
      <c r="G6" s="35" t="s">
        <v>55</v>
      </c>
      <c r="H6" s="35" t="s">
        <v>161</v>
      </c>
      <c r="I6" s="35" t="s">
        <v>163</v>
      </c>
      <c r="J6" s="35" t="s">
        <v>164</v>
      </c>
    </row>
    <row r="7" spans="2:10" ht="39.75" customHeight="1" x14ac:dyDescent="0.35">
      <c r="B7" s="34" t="s">
        <v>520</v>
      </c>
      <c r="C7" s="35" t="s">
        <v>562</v>
      </c>
      <c r="D7" s="35" t="s">
        <v>47</v>
      </c>
      <c r="E7" s="35" t="s">
        <v>190</v>
      </c>
      <c r="F7" s="35" t="s">
        <v>191</v>
      </c>
      <c r="G7" s="35" t="s">
        <v>55</v>
      </c>
      <c r="H7" s="35" t="s">
        <v>193</v>
      </c>
      <c r="I7" s="35" t="s">
        <v>195</v>
      </c>
      <c r="J7" s="35" t="s">
        <v>149</v>
      </c>
    </row>
    <row r="8" spans="2:10" ht="39.75" customHeight="1" x14ac:dyDescent="0.35">
      <c r="B8" s="34" t="s">
        <v>520</v>
      </c>
      <c r="C8" s="35" t="s">
        <v>562</v>
      </c>
      <c r="D8" s="35" t="s">
        <v>47</v>
      </c>
      <c r="E8" s="35" t="s">
        <v>202</v>
      </c>
      <c r="F8" s="35" t="s">
        <v>203</v>
      </c>
      <c r="G8" s="35" t="s">
        <v>55</v>
      </c>
      <c r="H8" s="35" t="s">
        <v>204</v>
      </c>
      <c r="I8" s="35" t="s">
        <v>206</v>
      </c>
      <c r="J8" s="35" t="s">
        <v>207</v>
      </c>
    </row>
    <row r="9" spans="2:10" ht="39.75" customHeight="1" x14ac:dyDescent="0.35">
      <c r="B9" s="34" t="s">
        <v>520</v>
      </c>
      <c r="C9" s="35" t="s">
        <v>562</v>
      </c>
      <c r="D9" s="35" t="s">
        <v>47</v>
      </c>
      <c r="E9" s="35" t="s">
        <v>227</v>
      </c>
      <c r="F9" s="35" t="s">
        <v>228</v>
      </c>
      <c r="G9" s="35" t="s">
        <v>55</v>
      </c>
      <c r="H9" s="35" t="s">
        <v>229</v>
      </c>
      <c r="I9" s="35" t="s">
        <v>231</v>
      </c>
      <c r="J9" s="35" t="s">
        <v>232</v>
      </c>
    </row>
    <row r="10" spans="2:10" ht="39.75" customHeight="1" x14ac:dyDescent="0.35">
      <c r="B10" s="34" t="s">
        <v>520</v>
      </c>
      <c r="C10" s="35" t="s">
        <v>562</v>
      </c>
      <c r="D10" s="35" t="s">
        <v>245</v>
      </c>
      <c r="E10" s="35" t="s">
        <v>246</v>
      </c>
      <c r="F10" s="35" t="s">
        <v>248</v>
      </c>
      <c r="G10" s="35">
        <v>1</v>
      </c>
      <c r="H10" s="35" t="s">
        <v>154</v>
      </c>
      <c r="I10" s="35" t="s">
        <v>250</v>
      </c>
      <c r="J10" s="35" t="s">
        <v>251</v>
      </c>
    </row>
    <row r="11" spans="2:10" ht="39.75" customHeight="1" x14ac:dyDescent="0.35">
      <c r="B11" s="34" t="s">
        <v>520</v>
      </c>
      <c r="C11" s="35" t="s">
        <v>562</v>
      </c>
      <c r="D11" s="35" t="s">
        <v>245</v>
      </c>
      <c r="E11" s="35" t="s">
        <v>276</v>
      </c>
      <c r="F11" s="35" t="s">
        <v>277</v>
      </c>
      <c r="G11" s="35">
        <v>1</v>
      </c>
      <c r="H11" s="35" t="s">
        <v>52</v>
      </c>
      <c r="I11" s="35" t="s">
        <v>279</v>
      </c>
      <c r="J11" s="35" t="s">
        <v>149</v>
      </c>
    </row>
    <row r="12" spans="2:10" ht="39.75" customHeight="1" x14ac:dyDescent="0.35">
      <c r="B12" s="34" t="s">
        <v>520</v>
      </c>
      <c r="C12" s="35" t="s">
        <v>562</v>
      </c>
      <c r="D12" s="35" t="s">
        <v>245</v>
      </c>
      <c r="E12" s="35" t="s">
        <v>280</v>
      </c>
      <c r="F12" s="35" t="s">
        <v>281</v>
      </c>
      <c r="G12" s="35">
        <v>1</v>
      </c>
      <c r="H12" s="35" t="s">
        <v>89</v>
      </c>
      <c r="I12" s="35" t="s">
        <v>283</v>
      </c>
      <c r="J12" s="35" t="s">
        <v>149</v>
      </c>
    </row>
    <row r="13" spans="2:10" ht="39.75" customHeight="1" x14ac:dyDescent="0.35">
      <c r="B13" s="34" t="s">
        <v>520</v>
      </c>
      <c r="C13" s="35" t="s">
        <v>562</v>
      </c>
      <c r="D13" s="35" t="s">
        <v>245</v>
      </c>
      <c r="E13" s="35" t="s">
        <v>289</v>
      </c>
      <c r="F13" s="35" t="s">
        <v>290</v>
      </c>
      <c r="G13" s="35">
        <v>1</v>
      </c>
      <c r="H13" s="35" t="s">
        <v>292</v>
      </c>
      <c r="I13" s="35" t="s">
        <v>294</v>
      </c>
      <c r="J13" s="35" t="s">
        <v>149</v>
      </c>
    </row>
    <row r="14" spans="2:10" ht="39.75" customHeight="1" x14ac:dyDescent="0.35">
      <c r="B14" s="34" t="s">
        <v>520</v>
      </c>
      <c r="C14" s="35" t="s">
        <v>562</v>
      </c>
      <c r="D14" s="35" t="s">
        <v>245</v>
      </c>
      <c r="E14" s="35" t="s">
        <v>316</v>
      </c>
      <c r="F14" s="35" t="s">
        <v>318</v>
      </c>
      <c r="G14" s="35">
        <v>1</v>
      </c>
      <c r="H14" s="35" t="s">
        <v>187</v>
      </c>
      <c r="I14" s="35" t="s">
        <v>320</v>
      </c>
      <c r="J14" s="35" t="s">
        <v>119</v>
      </c>
    </row>
    <row r="15" spans="2:10" ht="39.75" customHeight="1" x14ac:dyDescent="0.35">
      <c r="B15" s="34" t="s">
        <v>520</v>
      </c>
      <c r="C15" s="35" t="s">
        <v>562</v>
      </c>
      <c r="D15" s="35" t="s">
        <v>245</v>
      </c>
      <c r="E15" s="35" t="s">
        <v>48</v>
      </c>
      <c r="F15" s="35" t="s">
        <v>354</v>
      </c>
      <c r="G15" s="35">
        <v>1</v>
      </c>
      <c r="H15" s="35" t="s">
        <v>229</v>
      </c>
      <c r="I15" s="35" t="s">
        <v>356</v>
      </c>
      <c r="J15" s="35" t="s">
        <v>357</v>
      </c>
    </row>
    <row r="16" spans="2:10" ht="39.75" customHeight="1" x14ac:dyDescent="0.35">
      <c r="B16" s="34" t="s">
        <v>520</v>
      </c>
      <c r="C16" s="35" t="s">
        <v>562</v>
      </c>
      <c r="D16" s="35" t="s">
        <v>245</v>
      </c>
      <c r="E16" s="35" t="s">
        <v>69</v>
      </c>
      <c r="F16" s="35" t="s">
        <v>362</v>
      </c>
      <c r="G16" s="35">
        <v>1</v>
      </c>
      <c r="H16" s="35" t="s">
        <v>292</v>
      </c>
      <c r="I16" s="35" t="s">
        <v>364</v>
      </c>
      <c r="J16" s="35" t="s">
        <v>365</v>
      </c>
    </row>
    <row r="17" spans="2:10" ht="39.75" customHeight="1" x14ac:dyDescent="0.35">
      <c r="B17" s="34" t="s">
        <v>520</v>
      </c>
      <c r="C17" s="35" t="s">
        <v>562</v>
      </c>
      <c r="D17" s="35" t="s">
        <v>245</v>
      </c>
      <c r="E17" s="35" t="s">
        <v>301</v>
      </c>
      <c r="F17" s="35" t="s">
        <v>302</v>
      </c>
      <c r="G17" s="35">
        <v>1</v>
      </c>
      <c r="H17" s="35" t="s">
        <v>223</v>
      </c>
      <c r="I17" s="35" t="s">
        <v>304</v>
      </c>
      <c r="J17" s="35" t="s">
        <v>226</v>
      </c>
    </row>
    <row r="18" spans="2:10" ht="39.75" customHeight="1" x14ac:dyDescent="0.35">
      <c r="B18" s="34" t="s">
        <v>520</v>
      </c>
      <c r="C18" s="35" t="s">
        <v>562</v>
      </c>
      <c r="D18" s="35" t="s">
        <v>245</v>
      </c>
      <c r="E18" s="35" t="s">
        <v>326</v>
      </c>
      <c r="F18" s="35" t="s">
        <v>327</v>
      </c>
      <c r="G18" s="35">
        <v>1</v>
      </c>
      <c r="H18" s="35" t="s">
        <v>193</v>
      </c>
      <c r="I18" s="35" t="s">
        <v>329</v>
      </c>
      <c r="J18" s="35" t="s">
        <v>149</v>
      </c>
    </row>
    <row r="19" spans="2:10" ht="39.75" customHeight="1" x14ac:dyDescent="0.35">
      <c r="B19" s="34" t="s">
        <v>520</v>
      </c>
      <c r="C19" s="35" t="s">
        <v>562</v>
      </c>
      <c r="D19" s="35" t="s">
        <v>47</v>
      </c>
      <c r="E19" s="35" t="s">
        <v>77</v>
      </c>
      <c r="F19" s="35" t="s">
        <v>78</v>
      </c>
      <c r="G19" s="35" t="s">
        <v>55</v>
      </c>
      <c r="H19" s="35" t="s">
        <v>80</v>
      </c>
      <c r="I19" s="35" t="s">
        <v>83</v>
      </c>
      <c r="J19" s="35" t="s">
        <v>84</v>
      </c>
    </row>
    <row r="20" spans="2:10" ht="39.75" customHeight="1" x14ac:dyDescent="0.35">
      <c r="B20" s="34" t="s">
        <v>520</v>
      </c>
      <c r="C20" s="35" t="s">
        <v>562</v>
      </c>
      <c r="D20" s="35" t="s">
        <v>47</v>
      </c>
      <c r="E20" s="35" t="s">
        <v>131</v>
      </c>
      <c r="F20" s="35" t="s">
        <v>132</v>
      </c>
      <c r="G20" s="35" t="s">
        <v>55</v>
      </c>
      <c r="H20" s="35" t="s">
        <v>89</v>
      </c>
      <c r="I20" s="35" t="s">
        <v>135</v>
      </c>
      <c r="J20" s="35" t="s">
        <v>136</v>
      </c>
    </row>
    <row r="21" spans="2:10" ht="39.75" customHeight="1" x14ac:dyDescent="0.35">
      <c r="B21" s="34" t="s">
        <v>520</v>
      </c>
      <c r="C21" s="35" t="s">
        <v>562</v>
      </c>
      <c r="D21" s="35" t="s">
        <v>47</v>
      </c>
      <c r="E21" s="35" t="s">
        <v>137</v>
      </c>
      <c r="F21" s="35" t="s">
        <v>138</v>
      </c>
      <c r="G21" s="35" t="s">
        <v>55</v>
      </c>
      <c r="H21" s="35" t="s">
        <v>89</v>
      </c>
      <c r="I21" s="35" t="s">
        <v>141</v>
      </c>
      <c r="J21" s="35" t="s">
        <v>99</v>
      </c>
    </row>
    <row r="22" spans="2:10" ht="39.75" customHeight="1" x14ac:dyDescent="0.35">
      <c r="B22" s="34" t="s">
        <v>520</v>
      </c>
      <c r="C22" s="35" t="s">
        <v>562</v>
      </c>
      <c r="D22" s="35" t="s">
        <v>47</v>
      </c>
      <c r="E22" s="35" t="s">
        <v>196</v>
      </c>
      <c r="F22" s="35" t="s">
        <v>197</v>
      </c>
      <c r="G22" s="35" t="s">
        <v>55</v>
      </c>
      <c r="H22" s="35" t="s">
        <v>199</v>
      </c>
      <c r="I22" s="35" t="s">
        <v>201</v>
      </c>
      <c r="J22" s="35" t="s">
        <v>119</v>
      </c>
    </row>
    <row r="23" spans="2:10" ht="39.75" customHeight="1" x14ac:dyDescent="0.35">
      <c r="B23" s="34" t="s">
        <v>520</v>
      </c>
      <c r="C23" s="35" t="s">
        <v>562</v>
      </c>
      <c r="D23" s="35" t="s">
        <v>47</v>
      </c>
      <c r="E23" s="35" t="s">
        <v>208</v>
      </c>
      <c r="F23" s="35" t="s">
        <v>209</v>
      </c>
      <c r="G23" s="35" t="s">
        <v>55</v>
      </c>
      <c r="H23" s="35" t="s">
        <v>210</v>
      </c>
      <c r="I23" s="35" t="s">
        <v>212</v>
      </c>
      <c r="J23" s="35" t="s">
        <v>207</v>
      </c>
    </row>
    <row r="24" spans="2:10" ht="39.75" customHeight="1" x14ac:dyDescent="0.35">
      <c r="B24" s="34" t="s">
        <v>520</v>
      </c>
      <c r="C24" s="35" t="s">
        <v>562</v>
      </c>
      <c r="D24" s="35" t="s">
        <v>47</v>
      </c>
      <c r="E24" s="35" t="s">
        <v>213</v>
      </c>
      <c r="F24" s="35" t="s">
        <v>214</v>
      </c>
      <c r="G24" s="35" t="s">
        <v>55</v>
      </c>
      <c r="H24" s="35" t="s">
        <v>216</v>
      </c>
      <c r="I24" s="35" t="s">
        <v>218</v>
      </c>
      <c r="J24" s="35" t="s">
        <v>219</v>
      </c>
    </row>
    <row r="25" spans="2:10" ht="39.75" customHeight="1" x14ac:dyDescent="0.35">
      <c r="B25" s="34" t="s">
        <v>520</v>
      </c>
      <c r="C25" s="35" t="s">
        <v>562</v>
      </c>
      <c r="D25" s="35" t="s">
        <v>47</v>
      </c>
      <c r="E25" s="35" t="s">
        <v>220</v>
      </c>
      <c r="F25" s="35" t="s">
        <v>222</v>
      </c>
      <c r="G25" s="35" t="s">
        <v>55</v>
      </c>
      <c r="H25" s="35" t="s">
        <v>223</v>
      </c>
      <c r="I25" s="35" t="s">
        <v>225</v>
      </c>
      <c r="J25" s="35" t="s">
        <v>226</v>
      </c>
    </row>
    <row r="26" spans="2:10" ht="39.75" customHeight="1" x14ac:dyDescent="0.35">
      <c r="B26" s="34" t="s">
        <v>520</v>
      </c>
      <c r="C26" s="35" t="s">
        <v>562</v>
      </c>
      <c r="D26" s="35" t="s">
        <v>47</v>
      </c>
      <c r="E26" s="35" t="s">
        <v>233</v>
      </c>
      <c r="F26" s="35" t="s">
        <v>234</v>
      </c>
      <c r="G26" s="35" t="s">
        <v>55</v>
      </c>
      <c r="H26" s="35" t="s">
        <v>236</v>
      </c>
      <c r="I26" s="35" t="s">
        <v>238</v>
      </c>
      <c r="J26" s="35" t="s">
        <v>239</v>
      </c>
    </row>
    <row r="27" spans="2:10" ht="39.75" customHeight="1" x14ac:dyDescent="0.35">
      <c r="B27" s="34" t="s">
        <v>520</v>
      </c>
      <c r="C27" s="35" t="s">
        <v>562</v>
      </c>
      <c r="D27" s="35" t="s">
        <v>245</v>
      </c>
      <c r="E27" s="35" t="s">
        <v>269</v>
      </c>
      <c r="F27" s="35" t="s">
        <v>271</v>
      </c>
      <c r="G27" s="35">
        <v>1</v>
      </c>
      <c r="H27" s="35" t="s">
        <v>272</v>
      </c>
      <c r="I27" s="35" t="s">
        <v>274</v>
      </c>
      <c r="J27" s="35" t="s">
        <v>275</v>
      </c>
    </row>
    <row r="28" spans="2:10" ht="39.75" customHeight="1" x14ac:dyDescent="0.35">
      <c r="B28" s="34" t="s">
        <v>520</v>
      </c>
      <c r="C28" s="35" t="s">
        <v>562</v>
      </c>
      <c r="D28" s="35" t="s">
        <v>245</v>
      </c>
      <c r="E28" s="35" t="s">
        <v>284</v>
      </c>
      <c r="F28" s="35" t="s">
        <v>285</v>
      </c>
      <c r="G28" s="35">
        <v>1</v>
      </c>
      <c r="H28" s="35" t="s">
        <v>286</v>
      </c>
      <c r="I28" s="35" t="s">
        <v>288</v>
      </c>
      <c r="J28" s="35" t="s">
        <v>119</v>
      </c>
    </row>
    <row r="29" spans="2:10" ht="39.75" customHeight="1" x14ac:dyDescent="0.35">
      <c r="B29" s="34" t="s">
        <v>520</v>
      </c>
      <c r="C29" s="35" t="s">
        <v>562</v>
      </c>
      <c r="D29" s="35" t="s">
        <v>245</v>
      </c>
      <c r="E29" s="35" t="s">
        <v>321</v>
      </c>
      <c r="F29" s="35" t="s">
        <v>322</v>
      </c>
      <c r="G29" s="35">
        <v>1</v>
      </c>
      <c r="H29" s="35" t="s">
        <v>323</v>
      </c>
      <c r="I29" s="35" t="s">
        <v>325</v>
      </c>
      <c r="J29" s="35" t="s">
        <v>119</v>
      </c>
    </row>
    <row r="30" spans="2:10" ht="39.75" customHeight="1" x14ac:dyDescent="0.35">
      <c r="B30" s="34" t="s">
        <v>520</v>
      </c>
      <c r="C30" s="35" t="s">
        <v>562</v>
      </c>
      <c r="D30" s="35" t="s">
        <v>245</v>
      </c>
      <c r="E30" s="35" t="s">
        <v>61</v>
      </c>
      <c r="F30" s="35" t="s">
        <v>358</v>
      </c>
      <c r="G30" s="35">
        <v>1</v>
      </c>
      <c r="H30" s="35" t="s">
        <v>359</v>
      </c>
      <c r="I30" s="35" t="s">
        <v>361</v>
      </c>
      <c r="J30" s="35" t="s">
        <v>149</v>
      </c>
    </row>
    <row r="31" spans="2:10" ht="39.75" customHeight="1" x14ac:dyDescent="0.35">
      <c r="B31" s="34" t="s">
        <v>520</v>
      </c>
      <c r="C31" s="35" t="s">
        <v>562</v>
      </c>
      <c r="D31" s="35" t="s">
        <v>245</v>
      </c>
      <c r="E31" s="35" t="s">
        <v>77</v>
      </c>
      <c r="F31" s="35" t="s">
        <v>366</v>
      </c>
      <c r="G31" s="35">
        <v>1</v>
      </c>
      <c r="H31" s="35" t="s">
        <v>292</v>
      </c>
      <c r="I31" s="35" t="s">
        <v>368</v>
      </c>
      <c r="J31" s="35" t="s">
        <v>365</v>
      </c>
    </row>
    <row r="32" spans="2:10" ht="39.75" customHeight="1" x14ac:dyDescent="0.35">
      <c r="B32" s="34" t="s">
        <v>520</v>
      </c>
      <c r="C32" s="35" t="s">
        <v>562</v>
      </c>
      <c r="D32" s="35" t="s">
        <v>369</v>
      </c>
      <c r="E32" s="35" t="s">
        <v>398</v>
      </c>
      <c r="F32" s="35" t="s">
        <v>399</v>
      </c>
      <c r="G32" s="35" t="s">
        <v>55</v>
      </c>
      <c r="H32" s="35" t="s">
        <v>400</v>
      </c>
      <c r="I32" s="35" t="s">
        <v>402</v>
      </c>
      <c r="J32" s="35" t="s">
        <v>207</v>
      </c>
    </row>
    <row r="33" spans="2:10" ht="39.75" customHeight="1" x14ac:dyDescent="0.35">
      <c r="B33" s="34" t="s">
        <v>520</v>
      </c>
      <c r="C33" s="35" t="s">
        <v>562</v>
      </c>
      <c r="D33" s="35" t="s">
        <v>369</v>
      </c>
      <c r="E33" s="35" t="s">
        <v>423</v>
      </c>
      <c r="F33" s="35" t="s">
        <v>424</v>
      </c>
      <c r="G33" s="35" t="s">
        <v>55</v>
      </c>
      <c r="H33" s="35" t="s">
        <v>425</v>
      </c>
      <c r="I33" s="35" t="s">
        <v>427</v>
      </c>
      <c r="J33" s="35" t="s">
        <v>207</v>
      </c>
    </row>
    <row r="34" spans="2:10" ht="39.75" customHeight="1" x14ac:dyDescent="0.35">
      <c r="B34" s="34" t="s">
        <v>520</v>
      </c>
      <c r="C34" s="35" t="s">
        <v>562</v>
      </c>
      <c r="D34" s="35" t="s">
        <v>369</v>
      </c>
      <c r="E34" s="35" t="s">
        <v>454</v>
      </c>
      <c r="F34" s="35" t="s">
        <v>455</v>
      </c>
      <c r="G34" s="35" t="s">
        <v>55</v>
      </c>
      <c r="H34" s="35" t="s">
        <v>456</v>
      </c>
      <c r="I34" s="35" t="s">
        <v>458</v>
      </c>
      <c r="J34" s="35" t="s">
        <v>207</v>
      </c>
    </row>
    <row r="35" spans="2:10" ht="39.75" customHeight="1" x14ac:dyDescent="0.35">
      <c r="B35" s="34" t="s">
        <v>520</v>
      </c>
      <c r="C35" s="35" t="s">
        <v>562</v>
      </c>
      <c r="D35" s="35" t="s">
        <v>369</v>
      </c>
      <c r="E35" s="35" t="s">
        <v>469</v>
      </c>
      <c r="F35" s="35" t="s">
        <v>470</v>
      </c>
      <c r="G35" s="35" t="s">
        <v>55</v>
      </c>
      <c r="H35" s="35" t="s">
        <v>471</v>
      </c>
      <c r="I35" s="35" t="s">
        <v>473</v>
      </c>
      <c r="J35" s="35" t="s">
        <v>207</v>
      </c>
    </row>
    <row r="36" spans="2:10" ht="39.75" customHeight="1" x14ac:dyDescent="0.35">
      <c r="B36" s="34" t="s">
        <v>520</v>
      </c>
      <c r="C36" s="35" t="s">
        <v>562</v>
      </c>
      <c r="D36" s="35" t="s">
        <v>369</v>
      </c>
      <c r="E36" s="35" t="s">
        <v>502</v>
      </c>
      <c r="F36" s="35" t="s">
        <v>503</v>
      </c>
      <c r="G36" s="35" t="s">
        <v>55</v>
      </c>
      <c r="H36" s="35" t="s">
        <v>505</v>
      </c>
      <c r="I36" s="35" t="s">
        <v>507</v>
      </c>
      <c r="J36" s="35" t="s">
        <v>119</v>
      </c>
    </row>
    <row r="37" spans="2:10" ht="39.75" customHeight="1" x14ac:dyDescent="0.35">
      <c r="B37" s="34" t="s">
        <v>520</v>
      </c>
      <c r="C37" s="35" t="s">
        <v>562</v>
      </c>
      <c r="D37" s="35" t="s">
        <v>245</v>
      </c>
      <c r="E37" s="35" t="s">
        <v>259</v>
      </c>
      <c r="F37" s="35" t="s">
        <v>260</v>
      </c>
      <c r="G37" s="35">
        <v>1</v>
      </c>
      <c r="H37" s="35" t="s">
        <v>103</v>
      </c>
      <c r="I37" s="35" t="s">
        <v>262</v>
      </c>
      <c r="J37" s="35" t="s">
        <v>107</v>
      </c>
    </row>
    <row r="38" spans="2:10" ht="39.75" customHeight="1" x14ac:dyDescent="0.35">
      <c r="B38" s="34" t="s">
        <v>520</v>
      </c>
      <c r="C38" s="35" t="s">
        <v>562</v>
      </c>
      <c r="D38" s="35" t="s">
        <v>245</v>
      </c>
      <c r="E38" s="35" t="s">
        <v>253</v>
      </c>
      <c r="F38" s="35" t="s">
        <v>254</v>
      </c>
      <c r="G38" s="35">
        <v>2</v>
      </c>
      <c r="H38" s="35" t="s">
        <v>255</v>
      </c>
      <c r="I38" s="35" t="s">
        <v>257</v>
      </c>
      <c r="J38" s="35" t="s">
        <v>258</v>
      </c>
    </row>
    <row r="39" spans="2:10" ht="39.75" customHeight="1" x14ac:dyDescent="0.35">
      <c r="B39" s="34" t="s">
        <v>520</v>
      </c>
      <c r="C39" s="35" t="s">
        <v>562</v>
      </c>
      <c r="D39" s="35" t="s">
        <v>245</v>
      </c>
      <c r="E39" s="35" t="s">
        <v>295</v>
      </c>
      <c r="F39" s="35" t="s">
        <v>297</v>
      </c>
      <c r="G39" s="35">
        <v>1</v>
      </c>
      <c r="H39" s="35" t="s">
        <v>223</v>
      </c>
      <c r="I39" s="35" t="s">
        <v>299</v>
      </c>
      <c r="J39" s="35" t="s">
        <v>300</v>
      </c>
    </row>
    <row r="40" spans="2:10" ht="39.75" customHeight="1" x14ac:dyDescent="0.35">
      <c r="B40" s="34" t="s">
        <v>520</v>
      </c>
      <c r="C40" s="35" t="s">
        <v>562</v>
      </c>
      <c r="D40" s="35" t="s">
        <v>369</v>
      </c>
      <c r="E40" s="35" t="s">
        <v>418</v>
      </c>
      <c r="F40" s="35" t="s">
        <v>419</v>
      </c>
      <c r="G40" s="35" t="s">
        <v>55</v>
      </c>
      <c r="H40" s="35" t="s">
        <v>420</v>
      </c>
      <c r="I40" s="35" t="s">
        <v>422</v>
      </c>
      <c r="J40" s="35" t="s">
        <v>207</v>
      </c>
    </row>
    <row r="41" spans="2:10" ht="39.75" customHeight="1" x14ac:dyDescent="0.35">
      <c r="B41" s="34" t="s">
        <v>520</v>
      </c>
      <c r="C41" s="35" t="s">
        <v>562</v>
      </c>
      <c r="D41" s="35" t="s">
        <v>369</v>
      </c>
      <c r="E41" s="35" t="s">
        <v>474</v>
      </c>
      <c r="F41" s="35" t="s">
        <v>476</v>
      </c>
      <c r="G41" s="35" t="s">
        <v>55</v>
      </c>
      <c r="H41" s="35" t="s">
        <v>286</v>
      </c>
      <c r="I41" s="35" t="s">
        <v>479</v>
      </c>
      <c r="J41" s="35" t="s">
        <v>207</v>
      </c>
    </row>
    <row r="42" spans="2:10" ht="39.75" customHeight="1" x14ac:dyDescent="0.35">
      <c r="B42" s="34" t="s">
        <v>520</v>
      </c>
      <c r="C42" s="35" t="s">
        <v>562</v>
      </c>
      <c r="D42" s="35" t="s">
        <v>369</v>
      </c>
      <c r="E42" s="35" t="s">
        <v>484</v>
      </c>
      <c r="F42" s="35" t="s">
        <v>485</v>
      </c>
      <c r="G42" s="35" t="s">
        <v>55</v>
      </c>
      <c r="H42" s="35" t="s">
        <v>161</v>
      </c>
      <c r="I42" s="35" t="s">
        <v>487</v>
      </c>
      <c r="J42" s="35" t="s">
        <v>488</v>
      </c>
    </row>
    <row r="43" spans="2:10" ht="39.75" customHeight="1" x14ac:dyDescent="0.35">
      <c r="B43" s="34" t="s">
        <v>520</v>
      </c>
      <c r="C43" s="35" t="s">
        <v>562</v>
      </c>
      <c r="D43" s="35" t="s">
        <v>369</v>
      </c>
      <c r="E43" s="35" t="s">
        <v>489</v>
      </c>
      <c r="F43" s="35" t="s">
        <v>490</v>
      </c>
      <c r="G43" s="35" t="s">
        <v>55</v>
      </c>
      <c r="H43" s="35" t="s">
        <v>491</v>
      </c>
      <c r="I43" s="35" t="s">
        <v>493</v>
      </c>
      <c r="J43" s="35" t="s">
        <v>207</v>
      </c>
    </row>
    <row r="44" spans="2:10" ht="39.75" customHeight="1" x14ac:dyDescent="0.35">
      <c r="B44" s="34" t="s">
        <v>520</v>
      </c>
      <c r="C44" s="35" t="s">
        <v>562</v>
      </c>
      <c r="D44" s="35" t="s">
        <v>369</v>
      </c>
      <c r="E44" s="35" t="s">
        <v>508</v>
      </c>
      <c r="F44" s="35" t="s">
        <v>509</v>
      </c>
      <c r="G44" s="35" t="s">
        <v>55</v>
      </c>
      <c r="H44" s="35" t="s">
        <v>307</v>
      </c>
      <c r="I44" s="35" t="s">
        <v>511</v>
      </c>
      <c r="J44" s="35" t="s">
        <v>119</v>
      </c>
    </row>
    <row r="45" spans="2:10" ht="39.75" customHeight="1" x14ac:dyDescent="0.35">
      <c r="B45" s="36" t="s">
        <v>521</v>
      </c>
      <c r="C45" s="35" t="s">
        <v>563</v>
      </c>
      <c r="D45" s="35" t="s">
        <v>245</v>
      </c>
      <c r="E45" s="35" t="s">
        <v>263</v>
      </c>
      <c r="F45" s="35" t="s">
        <v>264</v>
      </c>
      <c r="G45" s="35">
        <v>1</v>
      </c>
      <c r="H45" s="35" t="s">
        <v>265</v>
      </c>
      <c r="I45" s="35" t="s">
        <v>267</v>
      </c>
      <c r="J45" s="35" t="s">
        <v>268</v>
      </c>
    </row>
    <row r="46" spans="2:10" ht="39.75" customHeight="1" x14ac:dyDescent="0.35">
      <c r="B46" s="36" t="s">
        <v>521</v>
      </c>
      <c r="C46" s="35" t="s">
        <v>563</v>
      </c>
      <c r="D46" s="35" t="s">
        <v>245</v>
      </c>
      <c r="E46" s="35" t="s">
        <v>330</v>
      </c>
      <c r="F46" s="35" t="s">
        <v>331</v>
      </c>
      <c r="G46" s="35">
        <v>1</v>
      </c>
      <c r="H46" s="35" t="s">
        <v>332</v>
      </c>
      <c r="I46" s="35" t="s">
        <v>334</v>
      </c>
      <c r="J46" s="35" t="s">
        <v>207</v>
      </c>
    </row>
    <row r="47" spans="2:10" ht="39.75" customHeight="1" x14ac:dyDescent="0.35">
      <c r="B47" s="36" t="s">
        <v>521</v>
      </c>
      <c r="C47" s="35" t="s">
        <v>563</v>
      </c>
      <c r="D47" s="35" t="s">
        <v>47</v>
      </c>
      <c r="E47" s="35" t="s">
        <v>85</v>
      </c>
      <c r="F47" s="35" t="s">
        <v>87</v>
      </c>
      <c r="G47" s="35" t="s">
        <v>55</v>
      </c>
      <c r="H47" s="35" t="s">
        <v>89</v>
      </c>
      <c r="I47" s="35" t="s">
        <v>92</v>
      </c>
      <c r="J47" s="35" t="s">
        <v>93</v>
      </c>
    </row>
    <row r="48" spans="2:10" ht="39.75" customHeight="1" x14ac:dyDescent="0.35">
      <c r="B48" s="36" t="s">
        <v>521</v>
      </c>
      <c r="C48" s="35" t="s">
        <v>563</v>
      </c>
      <c r="D48" s="35" t="s">
        <v>47</v>
      </c>
      <c r="E48" s="35" t="s">
        <v>94</v>
      </c>
      <c r="F48" s="35" t="s">
        <v>95</v>
      </c>
      <c r="G48" s="35" t="s">
        <v>55</v>
      </c>
      <c r="H48" s="35" t="s">
        <v>89</v>
      </c>
      <c r="I48" s="35" t="s">
        <v>98</v>
      </c>
      <c r="J48" s="35" t="s">
        <v>99</v>
      </c>
    </row>
    <row r="49" spans="2:10" ht="39.75" customHeight="1" x14ac:dyDescent="0.35">
      <c r="B49" s="36" t="s">
        <v>521</v>
      </c>
      <c r="C49" s="35" t="s">
        <v>563</v>
      </c>
      <c r="D49" s="35" t="s">
        <v>47</v>
      </c>
      <c r="E49" s="35" t="s">
        <v>108</v>
      </c>
      <c r="F49" s="35" t="s">
        <v>109</v>
      </c>
      <c r="G49" s="35" t="s">
        <v>53</v>
      </c>
      <c r="H49" s="35" t="s">
        <v>89</v>
      </c>
      <c r="I49" s="35" t="s">
        <v>112</v>
      </c>
      <c r="J49" s="35" t="s">
        <v>113</v>
      </c>
    </row>
    <row r="50" spans="2:10" ht="39.75" customHeight="1" x14ac:dyDescent="0.35">
      <c r="B50" s="36" t="s">
        <v>521</v>
      </c>
      <c r="C50" s="35" t="s">
        <v>563</v>
      </c>
      <c r="D50" s="35" t="s">
        <v>47</v>
      </c>
      <c r="E50" s="35" t="s">
        <v>172</v>
      </c>
      <c r="F50" s="35" t="s">
        <v>173</v>
      </c>
      <c r="G50" s="35" t="s">
        <v>55</v>
      </c>
      <c r="H50" s="35" t="s">
        <v>174</v>
      </c>
      <c r="I50" s="35" t="s">
        <v>176</v>
      </c>
      <c r="J50" s="35" t="s">
        <v>84</v>
      </c>
    </row>
    <row r="51" spans="2:10" ht="39.75" customHeight="1" x14ac:dyDescent="0.35">
      <c r="B51" s="36" t="s">
        <v>521</v>
      </c>
      <c r="C51" s="35" t="s">
        <v>563</v>
      </c>
      <c r="D51" s="35" t="s">
        <v>47</v>
      </c>
      <c r="E51" s="35" t="s">
        <v>177</v>
      </c>
      <c r="F51" s="35" t="s">
        <v>179</v>
      </c>
      <c r="G51" s="35" t="s">
        <v>55</v>
      </c>
      <c r="H51" s="35" t="s">
        <v>181</v>
      </c>
      <c r="I51" s="35" t="s">
        <v>183</v>
      </c>
      <c r="J51" s="35" t="s">
        <v>119</v>
      </c>
    </row>
    <row r="52" spans="2:10" ht="39.75" customHeight="1" x14ac:dyDescent="0.35">
      <c r="B52" s="36" t="s">
        <v>521</v>
      </c>
      <c r="C52" s="35" t="s">
        <v>563</v>
      </c>
      <c r="D52" s="35" t="s">
        <v>47</v>
      </c>
      <c r="E52" s="35" t="s">
        <v>184</v>
      </c>
      <c r="F52" s="35" t="s">
        <v>185</v>
      </c>
      <c r="G52" s="35" t="s">
        <v>55</v>
      </c>
      <c r="H52" s="35" t="s">
        <v>187</v>
      </c>
      <c r="I52" s="35" t="s">
        <v>189</v>
      </c>
      <c r="J52" s="35" t="s">
        <v>119</v>
      </c>
    </row>
    <row r="53" spans="2:10" ht="39.75" customHeight="1" x14ac:dyDescent="0.35">
      <c r="B53" s="36" t="s">
        <v>521</v>
      </c>
      <c r="C53" s="35" t="s">
        <v>563</v>
      </c>
      <c r="D53" s="35" t="s">
        <v>47</v>
      </c>
      <c r="E53" s="35" t="s">
        <v>240</v>
      </c>
      <c r="F53" s="35" t="s">
        <v>241</v>
      </c>
      <c r="G53" s="35" t="s">
        <v>55</v>
      </c>
      <c r="H53" s="35" t="s">
        <v>242</v>
      </c>
      <c r="I53" s="35" t="s">
        <v>244</v>
      </c>
      <c r="J53" s="35" t="s">
        <v>207</v>
      </c>
    </row>
    <row r="54" spans="2:10" ht="39.75" customHeight="1" x14ac:dyDescent="0.35">
      <c r="B54" s="36" t="s">
        <v>521</v>
      </c>
      <c r="C54" s="35" t="s">
        <v>563</v>
      </c>
      <c r="D54" s="35" t="s">
        <v>245</v>
      </c>
      <c r="E54" s="35" t="s">
        <v>305</v>
      </c>
      <c r="F54" s="35" t="s">
        <v>306</v>
      </c>
      <c r="G54" s="35">
        <v>1</v>
      </c>
      <c r="H54" s="35" t="s">
        <v>307</v>
      </c>
      <c r="I54" s="35" t="s">
        <v>310</v>
      </c>
      <c r="J54" s="35" t="s">
        <v>119</v>
      </c>
    </row>
    <row r="55" spans="2:10" ht="39.75" customHeight="1" x14ac:dyDescent="0.35">
      <c r="B55" s="36" t="s">
        <v>521</v>
      </c>
      <c r="C55" s="35" t="s">
        <v>563</v>
      </c>
      <c r="D55" s="35" t="s">
        <v>369</v>
      </c>
      <c r="E55" s="35" t="s">
        <v>370</v>
      </c>
      <c r="F55" s="35" t="s">
        <v>372</v>
      </c>
      <c r="G55" s="35" t="s">
        <v>55</v>
      </c>
      <c r="H55" s="35" t="s">
        <v>374</v>
      </c>
      <c r="I55" s="35" t="s">
        <v>376</v>
      </c>
      <c r="J55" s="35" t="s">
        <v>377</v>
      </c>
    </row>
    <row r="56" spans="2:10" ht="39.75" customHeight="1" x14ac:dyDescent="0.35">
      <c r="B56" s="36" t="s">
        <v>521</v>
      </c>
      <c r="C56" s="35" t="s">
        <v>563</v>
      </c>
      <c r="D56" s="35" t="s">
        <v>369</v>
      </c>
      <c r="E56" s="35" t="s">
        <v>403</v>
      </c>
      <c r="F56" s="35" t="s">
        <v>404</v>
      </c>
      <c r="G56" s="35" t="s">
        <v>55</v>
      </c>
      <c r="H56" s="35" t="s">
        <v>64</v>
      </c>
      <c r="I56" s="35" t="s">
        <v>406</v>
      </c>
      <c r="J56" s="35" t="s">
        <v>207</v>
      </c>
    </row>
    <row r="57" spans="2:10" ht="39.75" customHeight="1" x14ac:dyDescent="0.35">
      <c r="B57" s="36" t="s">
        <v>521</v>
      </c>
      <c r="C57" s="35" t="s">
        <v>563</v>
      </c>
      <c r="D57" s="35" t="s">
        <v>369</v>
      </c>
      <c r="E57" s="35" t="s">
        <v>407</v>
      </c>
      <c r="F57" s="35" t="s">
        <v>408</v>
      </c>
      <c r="G57" s="35" t="s">
        <v>55</v>
      </c>
      <c r="H57" s="35" t="s">
        <v>409</v>
      </c>
      <c r="I57" s="35" t="s">
        <v>411</v>
      </c>
      <c r="J57" s="35" t="s">
        <v>207</v>
      </c>
    </row>
    <row r="58" spans="2:10" ht="39.75" customHeight="1" x14ac:dyDescent="0.35">
      <c r="B58" s="36" t="s">
        <v>521</v>
      </c>
      <c r="C58" s="35" t="s">
        <v>563</v>
      </c>
      <c r="D58" s="35" t="s">
        <v>369</v>
      </c>
      <c r="E58" s="35" t="s">
        <v>412</v>
      </c>
      <c r="F58" s="35" t="s">
        <v>414</v>
      </c>
      <c r="G58" s="35" t="s">
        <v>55</v>
      </c>
      <c r="H58" s="35" t="s">
        <v>415</v>
      </c>
      <c r="I58" s="35" t="s">
        <v>417</v>
      </c>
      <c r="J58" s="35" t="s">
        <v>207</v>
      </c>
    </row>
    <row r="59" spans="2:10" ht="39.75" customHeight="1" x14ac:dyDescent="0.35">
      <c r="B59" s="36" t="s">
        <v>521</v>
      </c>
      <c r="C59" s="35" t="s">
        <v>563</v>
      </c>
      <c r="D59" s="35" t="s">
        <v>369</v>
      </c>
      <c r="E59" s="35" t="s">
        <v>433</v>
      </c>
      <c r="F59" s="35" t="s">
        <v>434</v>
      </c>
      <c r="G59" s="35" t="s">
        <v>55</v>
      </c>
      <c r="H59" s="35" t="s">
        <v>435</v>
      </c>
      <c r="I59" s="35" t="s">
        <v>437</v>
      </c>
      <c r="J59" s="35" t="s">
        <v>438</v>
      </c>
    </row>
    <row r="60" spans="2:10" ht="39.75" customHeight="1" x14ac:dyDescent="0.35">
      <c r="B60" s="36" t="s">
        <v>521</v>
      </c>
      <c r="C60" s="35" t="s">
        <v>563</v>
      </c>
      <c r="D60" s="35" t="s">
        <v>369</v>
      </c>
      <c r="E60" s="35" t="s">
        <v>439</v>
      </c>
      <c r="F60" s="35" t="s">
        <v>440</v>
      </c>
      <c r="G60" s="35" t="s">
        <v>55</v>
      </c>
      <c r="H60" s="35" t="s">
        <v>441</v>
      </c>
      <c r="I60" s="35" t="s">
        <v>443</v>
      </c>
      <c r="J60" s="35" t="s">
        <v>207</v>
      </c>
    </row>
    <row r="61" spans="2:10" ht="39.75" customHeight="1" x14ac:dyDescent="0.35">
      <c r="B61" s="36" t="s">
        <v>521</v>
      </c>
      <c r="C61" s="35" t="s">
        <v>563</v>
      </c>
      <c r="D61" s="35" t="s">
        <v>369</v>
      </c>
      <c r="E61" s="35" t="s">
        <v>444</v>
      </c>
      <c r="F61" s="35" t="s">
        <v>446</v>
      </c>
      <c r="G61" s="35" t="s">
        <v>55</v>
      </c>
      <c r="H61" s="35" t="s">
        <v>103</v>
      </c>
      <c r="I61" s="35" t="s">
        <v>448</v>
      </c>
      <c r="J61" s="35" t="s">
        <v>438</v>
      </c>
    </row>
    <row r="62" spans="2:10" ht="39.75" customHeight="1" x14ac:dyDescent="0.35">
      <c r="B62" s="36" t="s">
        <v>521</v>
      </c>
      <c r="C62" s="35" t="s">
        <v>563</v>
      </c>
      <c r="D62" s="35" t="s">
        <v>369</v>
      </c>
      <c r="E62" s="35" t="s">
        <v>459</v>
      </c>
      <c r="F62" s="35" t="s">
        <v>460</v>
      </c>
      <c r="G62" s="35" t="s">
        <v>55</v>
      </c>
      <c r="H62" s="35" t="s">
        <v>461</v>
      </c>
      <c r="I62" s="35" t="s">
        <v>463</v>
      </c>
      <c r="J62" s="35" t="s">
        <v>207</v>
      </c>
    </row>
    <row r="63" spans="2:10" ht="39.75" customHeight="1" x14ac:dyDescent="0.35">
      <c r="B63" s="36" t="s">
        <v>521</v>
      </c>
      <c r="C63" s="35" t="s">
        <v>563</v>
      </c>
      <c r="D63" s="35" t="s">
        <v>369</v>
      </c>
      <c r="E63" s="35" t="s">
        <v>480</v>
      </c>
      <c r="F63" s="35" t="s">
        <v>481</v>
      </c>
      <c r="G63" s="35" t="s">
        <v>55</v>
      </c>
      <c r="H63" s="35" t="s">
        <v>359</v>
      </c>
      <c r="I63" s="35" t="s">
        <v>483</v>
      </c>
      <c r="J63" s="35" t="s">
        <v>207</v>
      </c>
    </row>
    <row r="64" spans="2:10" ht="39.75" customHeight="1" x14ac:dyDescent="0.35">
      <c r="B64" s="36" t="s">
        <v>521</v>
      </c>
      <c r="C64" s="35" t="s">
        <v>563</v>
      </c>
      <c r="D64" s="35" t="s">
        <v>369</v>
      </c>
      <c r="E64" s="35" t="s">
        <v>494</v>
      </c>
      <c r="F64" s="35" t="s">
        <v>496</v>
      </c>
      <c r="G64" s="35" t="s">
        <v>55</v>
      </c>
      <c r="H64" s="35" t="s">
        <v>498</v>
      </c>
      <c r="I64" s="35" t="s">
        <v>500</v>
      </c>
      <c r="J64" s="35" t="s">
        <v>501</v>
      </c>
    </row>
    <row r="65" spans="2:10" ht="39.75" customHeight="1" x14ac:dyDescent="0.35">
      <c r="B65" s="36" t="s">
        <v>521</v>
      </c>
      <c r="C65" s="35" t="s">
        <v>563</v>
      </c>
      <c r="D65" s="35" t="s">
        <v>369</v>
      </c>
      <c r="E65" s="35" t="s">
        <v>512</v>
      </c>
      <c r="F65" s="35" t="s">
        <v>513</v>
      </c>
      <c r="G65" s="35" t="s">
        <v>55</v>
      </c>
      <c r="H65" s="35" t="s">
        <v>229</v>
      </c>
      <c r="I65" s="35" t="s">
        <v>516</v>
      </c>
      <c r="J65" s="35" t="s">
        <v>517</v>
      </c>
    </row>
    <row r="66" spans="2:10" ht="39.75" customHeight="1" x14ac:dyDescent="0.35">
      <c r="B66" s="36" t="s">
        <v>521</v>
      </c>
      <c r="C66" s="35" t="s">
        <v>563</v>
      </c>
      <c r="D66" s="35" t="s">
        <v>245</v>
      </c>
      <c r="E66" s="35" t="s">
        <v>335</v>
      </c>
      <c r="F66" s="35" t="s">
        <v>336</v>
      </c>
      <c r="G66" s="35">
        <v>1</v>
      </c>
      <c r="H66" s="35" t="s">
        <v>204</v>
      </c>
      <c r="I66" s="35" t="s">
        <v>338</v>
      </c>
      <c r="J66" s="35" t="s">
        <v>207</v>
      </c>
    </row>
    <row r="67" spans="2:10" ht="39.75" customHeight="1" x14ac:dyDescent="0.35">
      <c r="B67" s="36" t="s">
        <v>521</v>
      </c>
      <c r="C67" s="35" t="s">
        <v>563</v>
      </c>
      <c r="D67" s="35" t="s">
        <v>245</v>
      </c>
      <c r="E67" s="35" t="s">
        <v>344</v>
      </c>
      <c r="F67" s="35" t="s">
        <v>345</v>
      </c>
      <c r="G67" s="35">
        <v>1</v>
      </c>
      <c r="H67" s="35" t="s">
        <v>174</v>
      </c>
      <c r="I67" s="35" t="s">
        <v>347</v>
      </c>
      <c r="J67" s="35" t="s">
        <v>84</v>
      </c>
    </row>
    <row r="68" spans="2:10" ht="39.75" customHeight="1" x14ac:dyDescent="0.35">
      <c r="B68" s="36" t="s">
        <v>521</v>
      </c>
      <c r="C68" s="35" t="s">
        <v>563</v>
      </c>
      <c r="D68" s="35" t="s">
        <v>245</v>
      </c>
      <c r="E68" s="35" t="s">
        <v>348</v>
      </c>
      <c r="F68" s="35" t="s">
        <v>349</v>
      </c>
      <c r="G68" s="35">
        <v>1</v>
      </c>
      <c r="H68" s="35" t="s">
        <v>350</v>
      </c>
      <c r="I68" s="35" t="s">
        <v>352</v>
      </c>
      <c r="J68" s="35" t="s">
        <v>149</v>
      </c>
    </row>
    <row r="69" spans="2:10" ht="39.75" customHeight="1" x14ac:dyDescent="0.35">
      <c r="B69" s="36" t="s">
        <v>521</v>
      </c>
      <c r="C69" s="35" t="s">
        <v>563</v>
      </c>
      <c r="D69" s="35" t="s">
        <v>47</v>
      </c>
      <c r="E69" s="35" t="s">
        <v>100</v>
      </c>
      <c r="F69" s="35" t="s">
        <v>101</v>
      </c>
      <c r="G69" s="35" t="s">
        <v>53</v>
      </c>
      <c r="H69" s="35" t="s">
        <v>103</v>
      </c>
      <c r="I69" s="35" t="s">
        <v>106</v>
      </c>
      <c r="J69" s="35" t="s">
        <v>107</v>
      </c>
    </row>
    <row r="70" spans="2:10" ht="39.75" customHeight="1" x14ac:dyDescent="0.35">
      <c r="B70" s="36" t="s">
        <v>521</v>
      </c>
      <c r="C70" s="35" t="s">
        <v>563</v>
      </c>
      <c r="D70" s="35" t="s">
        <v>47</v>
      </c>
      <c r="E70" s="35" t="s">
        <v>120</v>
      </c>
      <c r="F70" s="35" t="s">
        <v>122</v>
      </c>
      <c r="G70" s="35" t="s">
        <v>55</v>
      </c>
      <c r="H70" s="35" t="s">
        <v>89</v>
      </c>
      <c r="I70" s="35" t="s">
        <v>125</v>
      </c>
      <c r="J70" s="35" t="s">
        <v>99</v>
      </c>
    </row>
    <row r="71" spans="2:10" ht="39.75" customHeight="1" x14ac:dyDescent="0.35">
      <c r="B71" s="36" t="s">
        <v>521</v>
      </c>
      <c r="C71" s="35" t="s">
        <v>563</v>
      </c>
      <c r="D71" s="35" t="s">
        <v>47</v>
      </c>
      <c r="E71" s="35" t="s">
        <v>126</v>
      </c>
      <c r="F71" s="35" t="s">
        <v>127</v>
      </c>
      <c r="G71" s="35" t="s">
        <v>55</v>
      </c>
      <c r="H71" s="35" t="s">
        <v>89</v>
      </c>
      <c r="I71" s="35" t="s">
        <v>130</v>
      </c>
      <c r="J71" s="35" t="s">
        <v>99</v>
      </c>
    </row>
    <row r="72" spans="2:10" ht="39.75" customHeight="1" x14ac:dyDescent="0.35">
      <c r="B72" s="36" t="s">
        <v>521</v>
      </c>
      <c r="C72" s="35" t="s">
        <v>563</v>
      </c>
      <c r="D72" s="35" t="s">
        <v>245</v>
      </c>
      <c r="E72" s="35" t="s">
        <v>311</v>
      </c>
      <c r="F72" s="35" t="s">
        <v>312</v>
      </c>
      <c r="G72" s="35">
        <v>2</v>
      </c>
      <c r="H72" s="35" t="s">
        <v>313</v>
      </c>
      <c r="I72" s="35" t="s">
        <v>315</v>
      </c>
      <c r="J72" s="35" t="s">
        <v>171</v>
      </c>
    </row>
    <row r="73" spans="2:10" ht="39.75" customHeight="1" x14ac:dyDescent="0.35">
      <c r="B73" s="36" t="s">
        <v>521</v>
      </c>
      <c r="C73" s="35" t="s">
        <v>563</v>
      </c>
      <c r="D73" s="35" t="s">
        <v>245</v>
      </c>
      <c r="E73" s="35" t="s">
        <v>339</v>
      </c>
      <c r="F73" s="35" t="s">
        <v>341</v>
      </c>
      <c r="G73" s="35">
        <v>1</v>
      </c>
      <c r="H73" s="35" t="s">
        <v>161</v>
      </c>
      <c r="I73" s="35" t="s">
        <v>343</v>
      </c>
      <c r="J73" s="35" t="s">
        <v>164</v>
      </c>
    </row>
    <row r="74" spans="2:10" ht="39.75" customHeight="1" x14ac:dyDescent="0.35">
      <c r="B74" s="36" t="s">
        <v>521</v>
      </c>
      <c r="C74" s="35" t="s">
        <v>563</v>
      </c>
      <c r="D74" s="35" t="s">
        <v>369</v>
      </c>
      <c r="E74" s="35" t="s">
        <v>383</v>
      </c>
      <c r="F74" s="35" t="s">
        <v>384</v>
      </c>
      <c r="G74" s="35" t="s">
        <v>55</v>
      </c>
      <c r="H74" s="35" t="s">
        <v>255</v>
      </c>
      <c r="I74" s="35" t="s">
        <v>386</v>
      </c>
      <c r="J74" s="35" t="s">
        <v>377</v>
      </c>
    </row>
    <row r="75" spans="2:10" ht="39.75" customHeight="1" x14ac:dyDescent="0.35">
      <c r="B75" s="36" t="s">
        <v>521</v>
      </c>
      <c r="C75" s="35" t="s">
        <v>563</v>
      </c>
      <c r="D75" s="35" t="s">
        <v>369</v>
      </c>
      <c r="E75" s="35" t="s">
        <v>393</v>
      </c>
      <c r="F75" s="35" t="s">
        <v>395</v>
      </c>
      <c r="G75" s="35" t="s">
        <v>53</v>
      </c>
      <c r="H75" s="35" t="s">
        <v>52</v>
      </c>
      <c r="I75" s="35" t="s">
        <v>397</v>
      </c>
      <c r="J75" s="35" t="s">
        <v>207</v>
      </c>
    </row>
    <row r="76" spans="2:10" ht="39.75" customHeight="1" x14ac:dyDescent="0.35">
      <c r="B76" s="36" t="s">
        <v>521</v>
      </c>
      <c r="C76" s="35" t="s">
        <v>563</v>
      </c>
      <c r="D76" s="35" t="s">
        <v>369</v>
      </c>
      <c r="E76" s="35" t="s">
        <v>428</v>
      </c>
      <c r="F76" s="35" t="s">
        <v>429</v>
      </c>
      <c r="G76" s="35" t="s">
        <v>55</v>
      </c>
      <c r="H76" s="35" t="s">
        <v>430</v>
      </c>
      <c r="I76" s="35" t="s">
        <v>432</v>
      </c>
      <c r="J76" s="35" t="s">
        <v>207</v>
      </c>
    </row>
    <row r="77" spans="2:10" ht="39.75" customHeight="1" x14ac:dyDescent="0.35">
      <c r="B77" s="36" t="s">
        <v>521</v>
      </c>
      <c r="C77" s="35" t="s">
        <v>563</v>
      </c>
      <c r="D77" s="35" t="s">
        <v>369</v>
      </c>
      <c r="E77" s="35" t="s">
        <v>449</v>
      </c>
      <c r="F77" s="35" t="s">
        <v>450</v>
      </c>
      <c r="G77" s="35" t="s">
        <v>55</v>
      </c>
      <c r="H77" s="35" t="s">
        <v>451</v>
      </c>
      <c r="I77" s="35" t="s">
        <v>453</v>
      </c>
      <c r="J77" s="35" t="s">
        <v>207</v>
      </c>
    </row>
    <row r="78" spans="2:10" ht="39.75" customHeight="1" x14ac:dyDescent="0.35">
      <c r="B78" s="37" t="s">
        <v>522</v>
      </c>
      <c r="C78" s="35" t="s">
        <v>564</v>
      </c>
      <c r="D78" s="35" t="s">
        <v>47</v>
      </c>
      <c r="E78" s="35" t="s">
        <v>48</v>
      </c>
      <c r="F78" s="35" t="s">
        <v>50</v>
      </c>
      <c r="G78" s="35" t="s">
        <v>55</v>
      </c>
      <c r="H78" s="35" t="s">
        <v>52</v>
      </c>
      <c r="I78" s="35" t="s">
        <v>58</v>
      </c>
      <c r="J78" s="35" t="s">
        <v>59</v>
      </c>
    </row>
    <row r="79" spans="2:10" ht="39.75" customHeight="1" x14ac:dyDescent="0.35">
      <c r="B79" s="37" t="s">
        <v>522</v>
      </c>
      <c r="C79" s="35" t="s">
        <v>564</v>
      </c>
      <c r="D79" s="35" t="s">
        <v>47</v>
      </c>
      <c r="E79" s="35" t="s">
        <v>69</v>
      </c>
      <c r="F79" s="35" t="s">
        <v>70</v>
      </c>
      <c r="G79" s="35" t="s">
        <v>55</v>
      </c>
      <c r="H79" s="35" t="s">
        <v>72</v>
      </c>
      <c r="I79" s="35" t="s">
        <v>75</v>
      </c>
      <c r="J79" s="35" t="s">
        <v>76</v>
      </c>
    </row>
    <row r="80" spans="2:10" ht="39.75" customHeight="1" x14ac:dyDescent="0.35">
      <c r="B80" s="37" t="s">
        <v>522</v>
      </c>
      <c r="C80" s="35" t="s">
        <v>564</v>
      </c>
      <c r="D80" s="35" t="s">
        <v>47</v>
      </c>
      <c r="E80" s="35" t="s">
        <v>165</v>
      </c>
      <c r="F80" s="35" t="s">
        <v>166</v>
      </c>
      <c r="G80" s="35" t="s">
        <v>55</v>
      </c>
      <c r="H80" s="35" t="s">
        <v>168</v>
      </c>
      <c r="I80" s="35" t="s">
        <v>170</v>
      </c>
      <c r="J80" s="35" t="s">
        <v>171</v>
      </c>
    </row>
    <row r="81" spans="2:10" ht="39.75" customHeight="1" x14ac:dyDescent="0.35">
      <c r="B81" s="37" t="s">
        <v>522</v>
      </c>
      <c r="C81" s="35" t="s">
        <v>564</v>
      </c>
      <c r="D81" s="35" t="s">
        <v>369</v>
      </c>
      <c r="E81" s="35" t="s">
        <v>378</v>
      </c>
      <c r="F81" s="35" t="s">
        <v>379</v>
      </c>
      <c r="G81" s="35" t="s">
        <v>55</v>
      </c>
      <c r="H81" s="35" t="s">
        <v>154</v>
      </c>
      <c r="I81" s="35" t="s">
        <v>382</v>
      </c>
      <c r="J81" s="35" t="s">
        <v>251</v>
      </c>
    </row>
    <row r="82" spans="2:10" ht="39.75" customHeight="1" x14ac:dyDescent="0.35">
      <c r="B82" s="37" t="s">
        <v>522</v>
      </c>
      <c r="C82" s="35" t="s">
        <v>564</v>
      </c>
      <c r="D82" s="35" t="s">
        <v>369</v>
      </c>
      <c r="E82" s="35" t="s">
        <v>464</v>
      </c>
      <c r="F82" s="35" t="s">
        <v>465</v>
      </c>
      <c r="G82" s="35" t="s">
        <v>55</v>
      </c>
      <c r="H82" s="35" t="s">
        <v>466</v>
      </c>
      <c r="I82" s="35" t="s">
        <v>468</v>
      </c>
      <c r="J82" s="35" t="s">
        <v>207</v>
      </c>
    </row>
    <row r="83" spans="2:10" ht="39.75" customHeight="1" x14ac:dyDescent="0.35">
      <c r="B83" s="37" t="s">
        <v>522</v>
      </c>
      <c r="C83" s="35" t="s">
        <v>564</v>
      </c>
      <c r="D83" s="35" t="s">
        <v>369</v>
      </c>
      <c r="E83" s="35" t="s">
        <v>387</v>
      </c>
      <c r="F83" s="35" t="s">
        <v>388</v>
      </c>
      <c r="G83" s="35" t="s">
        <v>55</v>
      </c>
      <c r="H83" s="35" t="s">
        <v>390</v>
      </c>
      <c r="I83" s="35" t="s">
        <v>392</v>
      </c>
      <c r="J83" s="35" t="s">
        <v>119</v>
      </c>
    </row>
    <row r="84" spans="2:10" ht="39.75" customHeight="1" x14ac:dyDescent="0.35">
      <c r="B84" s="38" t="s">
        <v>523</v>
      </c>
      <c r="C84" s="35" t="s">
        <v>568</v>
      </c>
      <c r="D84" s="35" t="s">
        <v>47</v>
      </c>
      <c r="E84" s="35" t="s">
        <v>61</v>
      </c>
      <c r="F84" s="35" t="s">
        <v>62</v>
      </c>
      <c r="G84" s="35" t="s">
        <v>53</v>
      </c>
      <c r="H84" s="35" t="s">
        <v>64</v>
      </c>
      <c r="I84" s="35" t="s">
        <v>67</v>
      </c>
      <c r="J84" s="35" t="s">
        <v>68</v>
      </c>
    </row>
  </sheetData>
  <sheetProtection sheet="1" objects="1" scenarios="1"/>
  <autoFilter ref="B4:J84" xr:uid="{00000000-0009-0000-0000-000008000000}"/>
  <mergeCells count="1">
    <mergeCell ref="B2:I2"/>
  </mergeCell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RESUMEN ANEXO</vt:lpstr>
      <vt:lpstr>Matriz Consolidada</vt:lpstr>
      <vt:lpstr>Resumen Ejecutivo</vt:lpstr>
      <vt:lpstr>Hoja de Ruta_100pct</vt:lpstr>
      <vt:lpstr>Mapa ISO27001</vt:lpstr>
      <vt:lpstr>Plan_Institucion_A</vt:lpstr>
      <vt:lpstr>Plan_Institucion_B</vt:lpstr>
      <vt:lpstr>Plan_Institucion_C</vt:lpstr>
      <vt:lpstr>Plan_Institucion_D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Armijos Montoya</cp:lastModifiedBy>
  <cp:revision>0</cp:revision>
  <dcterms:created xsi:type="dcterms:W3CDTF">2026-08-27T01:39:05Z</dcterms:created>
  <dcterms:modified xsi:type="dcterms:W3CDTF">2026-08-29T03:48:53Z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2026-08-29T03:48:27Z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7309e703-47fb-4338-bf01-13ae2690410b</vt:lpwstr>
  </property>
  <property fmtid="{D5CDD505-2E9C-101B-9397-08002B2CF9AE}" pid="7" name="MSIP_Label_defa4170-0d19-0005-0004-bc88714345d2_ActionId">
    <vt:lpwstr>b655266a-ad9d-4c07-a93c-08c857bba685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